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inalopezlarraz/PycharmProjects/TurnerSyndrome_TFG/data_files/data_files_barcelona/data_files_barcelona_features/"/>
    </mc:Choice>
  </mc:AlternateContent>
  <xr:revisionPtr revIDLastSave="0" documentId="13_ncr:1_{6DD12848-078E-DA41-98B0-F69CDF299753}" xr6:coauthVersionLast="47" xr6:coauthVersionMax="47" xr10:uidLastSave="{00000000-0000-0000-0000-000000000000}"/>
  <bookViews>
    <workbookView xWindow="0" yWindow="740" windowWidth="30240" windowHeight="18900" xr2:uid="{6C8243BA-29F0-4568-8238-043D49D965D3}"/>
  </bookViews>
  <sheets>
    <sheet name="Raw_Match_Anon" sheetId="1" r:id="rId1"/>
    <sheet name="3D_Recon_Cle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<sst xmlns="http://schemas.openxmlformats.org/spreadsheetml/2006/main" count="234" uniqueCount="121">
  <si>
    <t>IMG_7819</t>
  </si>
  <si>
    <t>CN</t>
  </si>
  <si>
    <t>ESCTC0756</t>
  </si>
  <si>
    <t>IMG_7808</t>
  </si>
  <si>
    <t>ST</t>
  </si>
  <si>
    <t>ESSTM0047</t>
  </si>
  <si>
    <t>IMG_7795</t>
  </si>
  <si>
    <t>ESSTM0673</t>
  </si>
  <si>
    <t>IMG_7783</t>
  </si>
  <si>
    <t>ESCTC7055</t>
  </si>
  <si>
    <t>IMG_7771</t>
  </si>
  <si>
    <t>ESSTM0464</t>
  </si>
  <si>
    <t>IMG_7756</t>
  </si>
  <si>
    <t>ESSTM0037</t>
  </si>
  <si>
    <t>IMG_7745</t>
  </si>
  <si>
    <t>ESSTM0028</t>
  </si>
  <si>
    <t>IMG_7732</t>
  </si>
  <si>
    <t>ESSTM0410</t>
  </si>
  <si>
    <t>IMG_7721</t>
  </si>
  <si>
    <t>ESSTM0034</t>
  </si>
  <si>
    <t>IMG_7706</t>
  </si>
  <si>
    <t>ESCTC0754</t>
  </si>
  <si>
    <t>IMG_7700</t>
  </si>
  <si>
    <t>ESCTC0595</t>
  </si>
  <si>
    <t>IMG_7679</t>
  </si>
  <si>
    <t>ESCTC0484</t>
  </si>
  <si>
    <t>IMG_7665</t>
  </si>
  <si>
    <t>ESSTM0753</t>
  </si>
  <si>
    <t>IMG_7644</t>
  </si>
  <si>
    <t>ESSTM0752</t>
  </si>
  <si>
    <t>IMG_7632</t>
  </si>
  <si>
    <t>ESSTM0751</t>
  </si>
  <si>
    <t>IMG_7621</t>
  </si>
  <si>
    <t>ESSTM0031</t>
  </si>
  <si>
    <t>IMG_7609</t>
  </si>
  <si>
    <t>ESCTC0750</t>
  </si>
  <si>
    <t>IMG_7596</t>
  </si>
  <si>
    <t>ESSTM0016</t>
  </si>
  <si>
    <t>IMG_7583</t>
  </si>
  <si>
    <t>ESCTC0749</t>
  </si>
  <si>
    <t>IMG_7571</t>
  </si>
  <si>
    <t>ESSTM0030</t>
  </si>
  <si>
    <t>IMG_7561</t>
  </si>
  <si>
    <t>ESSTM0026</t>
  </si>
  <si>
    <t>IMG_7550</t>
  </si>
  <si>
    <t>ESCTC0748</t>
  </si>
  <si>
    <t>IMG_7540</t>
  </si>
  <si>
    <t>ESSTM0059</t>
  </si>
  <si>
    <t>IMG_7530</t>
  </si>
  <si>
    <t>ESCTC0747</t>
  </si>
  <si>
    <t>IMG_7512</t>
  </si>
  <si>
    <t>ESSTM0351</t>
  </si>
  <si>
    <t>IMG_7500</t>
  </si>
  <si>
    <t>ESSTM0022</t>
  </si>
  <si>
    <t>Frontal_Image</t>
  </si>
  <si>
    <t>Type</t>
  </si>
  <si>
    <t>Age</t>
  </si>
  <si>
    <t>Code</t>
  </si>
  <si>
    <t>Altura_m</t>
  </si>
  <si>
    <t>Peso_kg</t>
  </si>
  <si>
    <t>IMC_kg_m2</t>
  </si>
  <si>
    <t>Perimetro_craneal_cm</t>
  </si>
  <si>
    <t>Perimetro_cuello_cm</t>
  </si>
  <si>
    <t>Grosor_cuello_alado_cm</t>
  </si>
  <si>
    <t xml:space="preserve">Distancia de angulo superior escapular a C7 </t>
  </si>
  <si>
    <t>Distancia de angulo superior escapular a T10</t>
  </si>
  <si>
    <t>Distancia_C7_t10</t>
  </si>
  <si>
    <t>Longitud_brazo_derecho_cm (Tubérculo mayor a punta dedo 3)</t>
  </si>
  <si>
    <t>Longitud_brazo_izquierdo_cm (Tubérculo mayor a punta dedo 3)</t>
  </si>
  <si>
    <t>Distancia_brazo_derecho_cm (punto medio del tubérculo mayor a fosa del codo)</t>
  </si>
  <si>
    <t>Distancia_brazo_izquierdo_cm (punto medio del tubérculo mayor a fosa del codo)</t>
  </si>
  <si>
    <t>Distancia_antebrazo_derecho_cm (fosa del codo a línea muñeca)</t>
  </si>
  <si>
    <t>Distancia_antebrazo_izquierdo_cm (fosa del codo a línea muñeca)</t>
  </si>
  <si>
    <t>Distancia_muneca_a_dedo3_cm</t>
  </si>
  <si>
    <t>Longitud_pierna_derecha_cm (espina ilíaca antero superior al maleolo medial)</t>
  </si>
  <si>
    <t>Longitud_pierna_izquierda_cm (espina ilíaca antero superior al maleolo medial)</t>
  </si>
  <si>
    <t>Distancia_muslo_derecho_cm (troncanter mayor a condilo lateral)</t>
  </si>
  <si>
    <t>Distancia_muslo_izquierdo_cm  (troncanter mayor a condilo lateral)</t>
  </si>
  <si>
    <t>Distancia_pantorrilla_derecha_cm (condilo lateral al maleolo lateral)</t>
  </si>
  <si>
    <t>Distancia_pantorrilla_izquierda_cm  (condilo lateral al maleolo lateral)</t>
  </si>
  <si>
    <t>Perimetro_abdominal_cm (debajo de las costillas)</t>
  </si>
  <si>
    <t>Distancia de cresta ilíaca antero superior a cresta ilíaca antero superior</t>
  </si>
  <si>
    <t>Perimetro_cadera_cm (coxofemoral)</t>
  </si>
  <si>
    <t>Distancia_extremo_esternal_clavicula_a_manubrio_esternal_cm</t>
  </si>
  <si>
    <t>Distancia_manubrio_a_apofisis_xifoides_cm</t>
  </si>
  <si>
    <t>Distancia_manubrio_a_ombligo_cm</t>
  </si>
  <si>
    <t>Distancia_condilo_medial_tibia_a_maleolo_medial_cm</t>
  </si>
  <si>
    <t>Distancia_astragalo_a_dedo2_pie_cm</t>
  </si>
  <si>
    <t>Distancia de cóndilo medial a lateral pierna derecha (pie de rey)</t>
  </si>
  <si>
    <t>Distancia de cóndilo medial a lateral pierna izquierda (pie de rey)</t>
  </si>
  <si>
    <t>Distancia intramaleolar derecha</t>
  </si>
  <si>
    <t>Distancia intramaleolar izquierda</t>
  </si>
  <si>
    <t xml:space="preserve">Distancia entre los extremos laterales de la muñeca derecha </t>
  </si>
  <si>
    <t>Distancia entre los extremos laterales de la muñeca izquierda</t>
  </si>
  <si>
    <t>Distancia entre cabeza meta 3 palmar y dorsal derecho</t>
  </si>
  <si>
    <t>Distancia entre cabeza meta 3 palmar y dorsal izquierdo</t>
  </si>
  <si>
    <t>Distrancia entre epicóndilos codo derecho</t>
  </si>
  <si>
    <t>Distrancia entre epicóndilos codo izquierdo</t>
  </si>
  <si>
    <t>Observaciones_generales</t>
  </si>
  <si>
    <t>Pierna derecha punto en maleolo lateral central y la pierna izquierda en vertice maleolar</t>
  </si>
  <si>
    <t>MARCADOR xifoides con centimetro de error por top deportivo. Pierna derecha punto en maleolo lateral central y la pierna izquierda en vertice maleolar</t>
  </si>
  <si>
    <t>xifoides a 3cm de piel. 72 en la banda del top a 1 cm. Pintamos puntos verdes de referencia en angulo infraescapular. Codo izq operado</t>
  </si>
  <si>
    <t>poner 1cm mas abajo el marcador condilo derecha lat y bajamos el marcador del codo izquierdo 2 cm</t>
  </si>
  <si>
    <t>asimetría escapulas, izq más arriba ver scan. pie derecho más hinchado que izq. Viaje largo... aunque es frecuente</t>
  </si>
  <si>
    <t>marcador xifoides se colocó desplazado un centimetro hacia superior</t>
  </si>
  <si>
    <t>Height</t>
  </si>
  <si>
    <t>Head_Per</t>
  </si>
  <si>
    <t>Neck_Per</t>
  </si>
  <si>
    <t>Abdominal_Per</t>
  </si>
  <si>
    <t>Hips_Per</t>
  </si>
  <si>
    <t>Left_Arm</t>
  </si>
  <si>
    <t>Right_Arm</t>
  </si>
  <si>
    <t>Left_Forearm</t>
  </si>
  <si>
    <t>Right_Forearm</t>
  </si>
  <si>
    <t>Hip_Hip</t>
  </si>
  <si>
    <t>Left_Leg</t>
  </si>
  <si>
    <t>Right_Leg</t>
  </si>
  <si>
    <t>Left_Thigh</t>
  </si>
  <si>
    <t>Right_Thigh</t>
  </si>
  <si>
    <t>Left_Crus</t>
  </si>
  <si>
    <t>Right_Crus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</si>
</sst>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rgb="FFFF33CC"/>
      <name val="Times New Roman"/>
      <family val="1"/>
    </font>
    <font>
      <b/>
      <sz val="12"/>
      <color theme="1"/>
      <name val="Times New Roman"/>
      <family val="1"/>
    </font>
    <font>
      <sz val="11"/>
      <color rgb="FFFF33CC"/>
      <name val="Aptos Narrow"/>
      <family val="2"/>
      <scheme val="minor"/>
    </font>
    <font>
      <sz val="11"/>
      <color rgb="FF000000"/>
      <name val="Calibri"/>
      <charset val="1"/>
    </font>
    <font>
      <sz val="11"/>
      <color rgb="FFFF33CC"/>
      <name val="Calibri"/>
    </font>
    <font>
      <sz val="11"/>
      <color rgb="FF000000"/>
      <name val="Calibri"/>
    </font>
    <font>
      <b/>
      <sz val="11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0" xfId="0" applyFont="1"/>
    <xf numFmtId="0" fontId="8" fillId="0" borderId="0" xfId="0" applyFont="1"/>
    <xf numFmtId="0" fontId="9" fillId="0" borderId="1" xfId="0" applyFont="1" applyBorder="1" applyAlignment="1">
      <alignment horizontal="center" vertical="top"/>
    </xf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0</xdr:rowOff>
    </xdr:from>
    <xdr:to>
      <xdr:col>16</xdr:col>
      <xdr:colOff>114300</xdr:colOff>
      <xdr:row>40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7E8845-4D89-B130-3EDD-ECFF895E7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064895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C5518-051B-4570-A52D-EA9E7CA156EF}">
  <dimension ref="A1:AS52"/>
  <sheetViews>
    <sheetView tabSelected="1" topLeftCell="V1" zoomScaleNormal="100" workbookViewId="0">
      <selection activeCell="AN22" sqref="AN22"/>
    </sheetView>
  </sheetViews>
  <sheetFormatPr baseColWidth="10" defaultColWidth="8.83203125" defaultRowHeight="15" x14ac:dyDescent="0.2"/>
  <cols>
    <col min="1" max="1" width="16" customWidth="1"/>
    <col min="2" max="3" width="9.1640625" style="1"/>
    <col min="4" max="4" width="14" customWidth="1"/>
    <col min="45" max="45" width="146.33203125" customWidth="1"/>
  </cols>
  <sheetData>
    <row r="1" spans="1:45" ht="153" x14ac:dyDescent="0.2">
      <c r="A1" s="8" t="s">
        <v>57</v>
      </c>
      <c r="B1" s="8" t="s">
        <v>56</v>
      </c>
      <c r="C1" s="8" t="s">
        <v>55</v>
      </c>
      <c r="D1" s="8" t="s">
        <v>54</v>
      </c>
      <c r="E1" s="5" t="s">
        <v>58</v>
      </c>
      <c r="F1" s="5" t="s">
        <v>59</v>
      </c>
      <c r="G1" s="6" t="s">
        <v>60</v>
      </c>
      <c r="H1" s="6" t="s">
        <v>61</v>
      </c>
      <c r="I1" s="6" t="s">
        <v>62</v>
      </c>
      <c r="J1" s="6" t="s">
        <v>63</v>
      </c>
      <c r="K1" s="6" t="s">
        <v>64</v>
      </c>
      <c r="L1" s="6" t="s">
        <v>65</v>
      </c>
      <c r="M1" s="6" t="s">
        <v>66</v>
      </c>
      <c r="N1" s="6" t="s">
        <v>67</v>
      </c>
      <c r="O1" s="6" t="s">
        <v>68</v>
      </c>
      <c r="P1" s="6" t="s">
        <v>69</v>
      </c>
      <c r="Q1" s="6" t="s">
        <v>70</v>
      </c>
      <c r="R1" s="6" t="s">
        <v>71</v>
      </c>
      <c r="S1" s="6" t="s">
        <v>72</v>
      </c>
      <c r="T1" s="6" t="s">
        <v>73</v>
      </c>
      <c r="U1" s="5" t="s">
        <v>74</v>
      </c>
      <c r="V1" s="5" t="s">
        <v>75</v>
      </c>
      <c r="W1" s="6" t="s">
        <v>76</v>
      </c>
      <c r="X1" s="6" t="s">
        <v>77</v>
      </c>
      <c r="Y1" s="6" t="s">
        <v>78</v>
      </c>
      <c r="Z1" s="6" t="s">
        <v>79</v>
      </c>
      <c r="AA1" s="6" t="s">
        <v>80</v>
      </c>
      <c r="AB1" s="5" t="s">
        <v>81</v>
      </c>
      <c r="AC1" s="6" t="s">
        <v>82</v>
      </c>
      <c r="AD1" s="6" t="s">
        <v>83</v>
      </c>
      <c r="AE1" s="6" t="s">
        <v>84</v>
      </c>
      <c r="AF1" s="6" t="s">
        <v>85</v>
      </c>
      <c r="AG1" s="6" t="s">
        <v>86</v>
      </c>
      <c r="AH1" s="6" t="s">
        <v>87</v>
      </c>
      <c r="AI1" s="7" t="s">
        <v>88</v>
      </c>
      <c r="AJ1" s="7" t="s">
        <v>89</v>
      </c>
      <c r="AK1" s="5" t="s">
        <v>90</v>
      </c>
      <c r="AL1" s="5" t="s">
        <v>91</v>
      </c>
      <c r="AM1" s="5" t="s">
        <v>92</v>
      </c>
      <c r="AN1" s="5" t="s">
        <v>93</v>
      </c>
      <c r="AO1" s="5" t="s">
        <v>94</v>
      </c>
      <c r="AP1" s="5" t="s">
        <v>95</v>
      </c>
      <c r="AQ1" s="5" t="s">
        <v>96</v>
      </c>
      <c r="AR1" s="5" t="s">
        <v>97</v>
      </c>
      <c r="AS1" s="6" t="s">
        <v>98</v>
      </c>
    </row>
    <row r="2" spans="1:45" ht="16" x14ac:dyDescent="0.2">
      <c r="A2" s="2" t="s">
        <v>53</v>
      </c>
      <c r="B2" s="3">
        <v>23</v>
      </c>
      <c r="C2" s="3" t="s">
        <v>4</v>
      </c>
      <c r="D2" s="2" t="s">
        <v>52</v>
      </c>
      <c r="E2" s="9">
        <v>1.45</v>
      </c>
      <c r="F2" s="9">
        <v>56.5</v>
      </c>
      <c r="G2">
        <f t="shared" ref="G2:G19" si="0">F2/(E2)^2</f>
        <v>26.872770511296075</v>
      </c>
      <c r="H2">
        <v>52</v>
      </c>
      <c r="I2">
        <v>29</v>
      </c>
      <c r="J2">
        <v>11</v>
      </c>
      <c r="K2">
        <v>10.5</v>
      </c>
      <c r="L2">
        <v>16.5</v>
      </c>
      <c r="M2">
        <v>17</v>
      </c>
      <c r="N2">
        <v>56</v>
      </c>
      <c r="O2">
        <v>55</v>
      </c>
      <c r="P2">
        <v>24</v>
      </c>
      <c r="Q2">
        <v>24</v>
      </c>
      <c r="R2">
        <v>19</v>
      </c>
      <c r="S2">
        <v>19</v>
      </c>
      <c r="T2">
        <v>15</v>
      </c>
      <c r="U2">
        <v>74</v>
      </c>
      <c r="V2">
        <v>72</v>
      </c>
      <c r="W2">
        <v>39</v>
      </c>
      <c r="X2">
        <v>40</v>
      </c>
      <c r="Y2">
        <v>32</v>
      </c>
      <c r="Z2">
        <v>32.4</v>
      </c>
      <c r="AA2">
        <v>74</v>
      </c>
      <c r="AB2">
        <v>26</v>
      </c>
      <c r="AC2">
        <v>95</v>
      </c>
      <c r="AD2">
        <v>2.5</v>
      </c>
      <c r="AE2">
        <v>16</v>
      </c>
      <c r="AF2">
        <v>35</v>
      </c>
      <c r="AG2">
        <v>32</v>
      </c>
      <c r="AH2">
        <v>14</v>
      </c>
      <c r="AI2">
        <v>11.192</v>
      </c>
      <c r="AJ2">
        <v>11.409000000000001</v>
      </c>
      <c r="AK2">
        <v>4.976</v>
      </c>
      <c r="AL2">
        <v>5.3140000000000001</v>
      </c>
      <c r="AM2">
        <v>4.8</v>
      </c>
      <c r="AN2">
        <v>3.95</v>
      </c>
      <c r="AO2">
        <v>1.1659999999999999</v>
      </c>
      <c r="AP2">
        <v>1.29</v>
      </c>
      <c r="AQ2">
        <v>7.17</v>
      </c>
      <c r="AR2">
        <v>7.0490000000000004</v>
      </c>
      <c r="AS2" s="10" t="s">
        <v>99</v>
      </c>
    </row>
    <row r="3" spans="1:45" ht="16" x14ac:dyDescent="0.2">
      <c r="A3" s="2" t="s">
        <v>51</v>
      </c>
      <c r="B3" s="3">
        <v>50</v>
      </c>
      <c r="C3" s="3" t="s">
        <v>4</v>
      </c>
      <c r="D3" s="2" t="s">
        <v>50</v>
      </c>
      <c r="E3" s="9">
        <v>1.57</v>
      </c>
      <c r="F3" s="9">
        <v>63</v>
      </c>
      <c r="G3">
        <f t="shared" si="0"/>
        <v>25.558846200657225</v>
      </c>
      <c r="H3">
        <v>58</v>
      </c>
      <c r="I3">
        <v>15</v>
      </c>
      <c r="J3">
        <v>8</v>
      </c>
      <c r="K3">
        <v>11</v>
      </c>
      <c r="L3">
        <v>10.5</v>
      </c>
      <c r="M3">
        <v>13.5</v>
      </c>
      <c r="N3">
        <v>68</v>
      </c>
      <c r="O3">
        <v>67.5</v>
      </c>
      <c r="P3">
        <v>28</v>
      </c>
      <c r="Q3">
        <v>28</v>
      </c>
      <c r="R3">
        <v>21</v>
      </c>
      <c r="S3">
        <v>22</v>
      </c>
      <c r="T3">
        <v>17</v>
      </c>
      <c r="U3">
        <v>81</v>
      </c>
      <c r="V3">
        <v>82</v>
      </c>
      <c r="W3">
        <v>43</v>
      </c>
      <c r="X3">
        <v>43</v>
      </c>
      <c r="Y3">
        <v>36.5</v>
      </c>
      <c r="Z3">
        <v>37</v>
      </c>
      <c r="AA3">
        <v>79</v>
      </c>
      <c r="AB3">
        <v>32</v>
      </c>
      <c r="AC3">
        <v>104</v>
      </c>
      <c r="AD3">
        <v>2</v>
      </c>
      <c r="AE3">
        <v>19</v>
      </c>
      <c r="AF3">
        <v>35.5</v>
      </c>
      <c r="AG3">
        <v>36</v>
      </c>
      <c r="AH3">
        <v>17</v>
      </c>
      <c r="AI3">
        <v>11</v>
      </c>
      <c r="AJ3">
        <v>11.1</v>
      </c>
      <c r="AK3">
        <v>5.2</v>
      </c>
      <c r="AL3">
        <v>5.3</v>
      </c>
      <c r="AM3">
        <v>3.8</v>
      </c>
      <c r="AN3">
        <v>4.6500000000000004</v>
      </c>
      <c r="AO3">
        <v>1.73</v>
      </c>
      <c r="AP3">
        <v>1.25</v>
      </c>
      <c r="AQ3">
        <v>7.3</v>
      </c>
      <c r="AR3">
        <v>7</v>
      </c>
      <c r="AS3" s="10" t="s">
        <v>99</v>
      </c>
    </row>
    <row r="4" spans="1:45" ht="16" x14ac:dyDescent="0.2">
      <c r="A4" s="2" t="s">
        <v>49</v>
      </c>
      <c r="B4" s="3">
        <v>53</v>
      </c>
      <c r="C4" s="3" t="s">
        <v>1</v>
      </c>
      <c r="D4" s="2" t="s">
        <v>48</v>
      </c>
      <c r="E4" s="9">
        <v>1.62</v>
      </c>
      <c r="F4" s="9">
        <v>61.5</v>
      </c>
      <c r="G4">
        <f t="shared" si="0"/>
        <v>23.433927754915405</v>
      </c>
      <c r="H4">
        <v>56</v>
      </c>
      <c r="I4">
        <v>33</v>
      </c>
      <c r="J4">
        <v>10</v>
      </c>
      <c r="K4">
        <v>11</v>
      </c>
      <c r="L4">
        <v>11</v>
      </c>
      <c r="M4">
        <v>16.5</v>
      </c>
      <c r="N4">
        <v>70</v>
      </c>
      <c r="O4">
        <v>70</v>
      </c>
      <c r="P4">
        <v>30</v>
      </c>
      <c r="Q4">
        <v>30</v>
      </c>
      <c r="R4">
        <v>25</v>
      </c>
      <c r="S4">
        <v>25</v>
      </c>
      <c r="T4">
        <v>19</v>
      </c>
      <c r="U4">
        <v>85.5</v>
      </c>
      <c r="V4">
        <v>85</v>
      </c>
      <c r="W4">
        <v>41.5</v>
      </c>
      <c r="X4">
        <v>41.5</v>
      </c>
      <c r="Y4">
        <v>40</v>
      </c>
      <c r="Z4">
        <v>41</v>
      </c>
      <c r="AA4">
        <v>79</v>
      </c>
      <c r="AB4">
        <v>29</v>
      </c>
      <c r="AC4">
        <v>101</v>
      </c>
      <c r="AD4">
        <v>1</v>
      </c>
      <c r="AE4">
        <v>11.5</v>
      </c>
      <c r="AF4">
        <v>35</v>
      </c>
      <c r="AG4">
        <v>36</v>
      </c>
      <c r="AH4">
        <v>11.5</v>
      </c>
      <c r="AI4">
        <v>10.9</v>
      </c>
      <c r="AJ4">
        <v>10.7</v>
      </c>
      <c r="AK4">
        <v>4.9000000000000004</v>
      </c>
      <c r="AL4">
        <v>5</v>
      </c>
      <c r="AM4">
        <v>4.0999999999999996</v>
      </c>
      <c r="AN4">
        <v>4.0999999999999996</v>
      </c>
      <c r="AO4">
        <v>1.8</v>
      </c>
      <c r="AP4">
        <v>1.5</v>
      </c>
      <c r="AQ4">
        <v>6.2</v>
      </c>
      <c r="AR4">
        <v>6.3</v>
      </c>
      <c r="AS4" s="10" t="s">
        <v>99</v>
      </c>
    </row>
    <row r="5" spans="1:45" ht="16" x14ac:dyDescent="0.2">
      <c r="A5" s="2" t="s">
        <v>47</v>
      </c>
      <c r="B5" s="3">
        <v>43</v>
      </c>
      <c r="C5" s="3" t="s">
        <v>4</v>
      </c>
      <c r="D5" s="2" t="s">
        <v>46</v>
      </c>
      <c r="E5" s="9">
        <v>1.48</v>
      </c>
      <c r="F5" s="9">
        <v>86</v>
      </c>
      <c r="G5">
        <f t="shared" si="0"/>
        <v>39.262235208181153</v>
      </c>
      <c r="H5">
        <v>55</v>
      </c>
      <c r="I5">
        <v>43</v>
      </c>
      <c r="J5">
        <v>12</v>
      </c>
      <c r="K5">
        <v>8</v>
      </c>
      <c r="L5">
        <v>14</v>
      </c>
      <c r="M5">
        <v>15</v>
      </c>
      <c r="N5">
        <v>63</v>
      </c>
      <c r="O5">
        <v>64</v>
      </c>
      <c r="P5">
        <v>28</v>
      </c>
      <c r="Q5">
        <v>29</v>
      </c>
      <c r="R5">
        <v>23</v>
      </c>
      <c r="S5">
        <v>23</v>
      </c>
      <c r="T5">
        <v>18.5</v>
      </c>
      <c r="U5">
        <v>72</v>
      </c>
      <c r="V5">
        <v>73</v>
      </c>
      <c r="W5">
        <v>32</v>
      </c>
      <c r="X5">
        <v>30</v>
      </c>
      <c r="Y5">
        <v>36</v>
      </c>
      <c r="Z5">
        <v>35</v>
      </c>
      <c r="AA5">
        <v>122.5</v>
      </c>
      <c r="AB5">
        <v>48</v>
      </c>
      <c r="AC5">
        <v>126</v>
      </c>
      <c r="AD5">
        <v>2</v>
      </c>
      <c r="AE5">
        <v>13.5</v>
      </c>
      <c r="AF5">
        <v>44.5</v>
      </c>
      <c r="AG5">
        <v>32</v>
      </c>
      <c r="AH5">
        <v>12</v>
      </c>
      <c r="AI5">
        <v>9.3000000000000007</v>
      </c>
      <c r="AJ5">
        <v>8.9</v>
      </c>
      <c r="AK5">
        <v>5.2</v>
      </c>
      <c r="AL5">
        <v>5.7</v>
      </c>
      <c r="AM5">
        <v>3.9</v>
      </c>
      <c r="AN5">
        <v>3.1</v>
      </c>
      <c r="AO5">
        <v>1.7</v>
      </c>
      <c r="AP5">
        <v>1.9</v>
      </c>
      <c r="AQ5">
        <v>5.7</v>
      </c>
      <c r="AR5">
        <v>5.3</v>
      </c>
      <c r="AS5" s="10" t="s">
        <v>99</v>
      </c>
    </row>
    <row r="6" spans="1:45" ht="16" x14ac:dyDescent="0.2">
      <c r="A6" s="2" t="s">
        <v>45</v>
      </c>
      <c r="B6" s="3">
        <v>57</v>
      </c>
      <c r="C6" s="3" t="s">
        <v>1</v>
      </c>
      <c r="D6" s="2" t="s">
        <v>44</v>
      </c>
      <c r="E6" s="9">
        <v>1.63</v>
      </c>
      <c r="F6" s="9">
        <v>73</v>
      </c>
      <c r="G6">
        <f t="shared" si="0"/>
        <v>27.475629493018182</v>
      </c>
      <c r="H6">
        <v>56</v>
      </c>
      <c r="I6">
        <v>33</v>
      </c>
      <c r="J6">
        <v>16</v>
      </c>
      <c r="K6">
        <v>9</v>
      </c>
      <c r="L6">
        <v>15</v>
      </c>
      <c r="M6">
        <v>17.5</v>
      </c>
      <c r="N6">
        <v>69</v>
      </c>
      <c r="O6">
        <v>69</v>
      </c>
      <c r="P6">
        <v>29</v>
      </c>
      <c r="Q6">
        <v>29</v>
      </c>
      <c r="R6">
        <v>23</v>
      </c>
      <c r="S6">
        <v>23</v>
      </c>
      <c r="T6">
        <v>17</v>
      </c>
      <c r="U6">
        <v>82</v>
      </c>
      <c r="V6">
        <v>81</v>
      </c>
      <c r="W6">
        <v>41</v>
      </c>
      <c r="X6">
        <v>41</v>
      </c>
      <c r="Y6">
        <v>39</v>
      </c>
      <c r="Z6">
        <v>39</v>
      </c>
      <c r="AA6">
        <v>92.5</v>
      </c>
      <c r="AB6">
        <v>34</v>
      </c>
      <c r="AC6">
        <v>109.5</v>
      </c>
      <c r="AD6">
        <v>0.5</v>
      </c>
      <c r="AE6">
        <v>11</v>
      </c>
      <c r="AF6">
        <v>41</v>
      </c>
      <c r="AG6">
        <v>32</v>
      </c>
      <c r="AH6">
        <v>10</v>
      </c>
      <c r="AI6">
        <v>9.6999999999999993</v>
      </c>
      <c r="AJ6">
        <v>9.9</v>
      </c>
      <c r="AK6">
        <v>5.4</v>
      </c>
      <c r="AL6">
        <v>5.5</v>
      </c>
      <c r="AM6">
        <v>4</v>
      </c>
      <c r="AN6">
        <v>3.7</v>
      </c>
      <c r="AO6">
        <v>1.6</v>
      </c>
      <c r="AP6">
        <v>1.6</v>
      </c>
      <c r="AQ6">
        <v>6.9</v>
      </c>
      <c r="AR6">
        <v>6.2</v>
      </c>
      <c r="AS6" s="10" t="s">
        <v>99</v>
      </c>
    </row>
    <row r="7" spans="1:45" ht="16" x14ac:dyDescent="0.2">
      <c r="A7" s="2" t="s">
        <v>43</v>
      </c>
      <c r="B7" s="3">
        <v>42</v>
      </c>
      <c r="C7" s="3" t="s">
        <v>4</v>
      </c>
      <c r="D7" s="2" t="s">
        <v>42</v>
      </c>
      <c r="E7" s="9">
        <v>1.43</v>
      </c>
      <c r="F7" s="9">
        <v>59</v>
      </c>
      <c r="G7">
        <f t="shared" si="0"/>
        <v>28.85226661450438</v>
      </c>
      <c r="H7">
        <v>54</v>
      </c>
      <c r="I7">
        <v>32</v>
      </c>
      <c r="J7">
        <v>10</v>
      </c>
      <c r="K7">
        <v>7.5</v>
      </c>
      <c r="L7">
        <v>14.5</v>
      </c>
      <c r="M7">
        <v>19.5</v>
      </c>
      <c r="N7">
        <v>54</v>
      </c>
      <c r="O7">
        <v>53</v>
      </c>
      <c r="P7">
        <v>23</v>
      </c>
      <c r="Q7">
        <v>22</v>
      </c>
      <c r="R7">
        <v>16</v>
      </c>
      <c r="S7">
        <v>16</v>
      </c>
      <c r="T7">
        <v>15.5</v>
      </c>
      <c r="U7">
        <v>73</v>
      </c>
      <c r="V7">
        <v>72</v>
      </c>
      <c r="W7">
        <v>34</v>
      </c>
      <c r="X7">
        <v>33</v>
      </c>
      <c r="Y7">
        <v>38</v>
      </c>
      <c r="Z7">
        <v>40</v>
      </c>
      <c r="AA7">
        <v>83</v>
      </c>
      <c r="AB7">
        <v>32</v>
      </c>
      <c r="AC7">
        <v>102</v>
      </c>
      <c r="AD7">
        <v>2.5</v>
      </c>
      <c r="AE7">
        <v>14.5</v>
      </c>
      <c r="AF7">
        <v>37</v>
      </c>
      <c r="AG7">
        <v>32.5</v>
      </c>
      <c r="AH7">
        <v>9.5</v>
      </c>
      <c r="AI7">
        <v>10.9</v>
      </c>
      <c r="AJ7">
        <v>11.6</v>
      </c>
      <c r="AK7">
        <v>5.2</v>
      </c>
      <c r="AL7">
        <v>5.6</v>
      </c>
      <c r="AM7">
        <v>3.3</v>
      </c>
      <c r="AN7">
        <v>3.4</v>
      </c>
      <c r="AO7">
        <v>1.1000000000000001</v>
      </c>
      <c r="AP7">
        <v>1.8</v>
      </c>
      <c r="AQ7">
        <v>5.4</v>
      </c>
      <c r="AR7">
        <v>4.7</v>
      </c>
      <c r="AS7" s="10" t="s">
        <v>99</v>
      </c>
    </row>
    <row r="8" spans="1:45" ht="16" x14ac:dyDescent="0.2">
      <c r="A8" s="2" t="s">
        <v>41</v>
      </c>
      <c r="B8" s="3">
        <v>33</v>
      </c>
      <c r="C8" s="3" t="s">
        <v>4</v>
      </c>
      <c r="D8" s="2" t="s">
        <v>40</v>
      </c>
      <c r="E8" s="9">
        <v>1.45</v>
      </c>
      <c r="F8" s="9">
        <v>45</v>
      </c>
      <c r="G8">
        <f t="shared" si="0"/>
        <v>21.403091557669441</v>
      </c>
      <c r="H8">
        <v>57.5</v>
      </c>
      <c r="I8">
        <v>34.5</v>
      </c>
      <c r="J8">
        <v>9.5</v>
      </c>
      <c r="K8">
        <v>8</v>
      </c>
      <c r="L8">
        <v>11.5</v>
      </c>
      <c r="M8">
        <v>15.5</v>
      </c>
      <c r="N8">
        <v>57.5</v>
      </c>
      <c r="P8">
        <v>23.5</v>
      </c>
      <c r="Q8">
        <v>23.5</v>
      </c>
      <c r="R8">
        <v>19</v>
      </c>
      <c r="S8">
        <v>19</v>
      </c>
      <c r="T8">
        <v>16</v>
      </c>
      <c r="U8">
        <v>74.5</v>
      </c>
      <c r="V8">
        <v>75.5</v>
      </c>
      <c r="W8">
        <v>36.5</v>
      </c>
      <c r="X8">
        <v>37</v>
      </c>
      <c r="Y8">
        <v>35</v>
      </c>
      <c r="Z8">
        <v>34.5</v>
      </c>
      <c r="AB8">
        <v>25</v>
      </c>
      <c r="AC8">
        <v>83</v>
      </c>
      <c r="AD8">
        <v>1.5</v>
      </c>
      <c r="AE8">
        <v>15</v>
      </c>
      <c r="AG8">
        <v>25</v>
      </c>
      <c r="AH8">
        <v>10.5</v>
      </c>
      <c r="AI8">
        <v>9.5</v>
      </c>
      <c r="AJ8">
        <v>8.8000000000000007</v>
      </c>
      <c r="AK8">
        <v>5.3</v>
      </c>
      <c r="AL8">
        <v>5.3</v>
      </c>
      <c r="AM8">
        <v>3.5</v>
      </c>
      <c r="AN8">
        <v>3.3</v>
      </c>
      <c r="AO8">
        <v>1.4</v>
      </c>
      <c r="AP8">
        <v>1.2</v>
      </c>
      <c r="AQ8">
        <v>4.8</v>
      </c>
      <c r="AR8">
        <v>5</v>
      </c>
      <c r="AS8" s="10" t="s">
        <v>99</v>
      </c>
    </row>
    <row r="9" spans="1:45" ht="16" x14ac:dyDescent="0.2">
      <c r="A9" s="2" t="s">
        <v>39</v>
      </c>
      <c r="B9" s="3">
        <v>53</v>
      </c>
      <c r="C9" s="3" t="s">
        <v>1</v>
      </c>
      <c r="D9" s="2" t="s">
        <v>38</v>
      </c>
      <c r="E9" s="9">
        <v>1.68</v>
      </c>
      <c r="F9" s="9">
        <v>63</v>
      </c>
      <c r="G9">
        <f t="shared" si="0"/>
        <v>22.321428571428577</v>
      </c>
      <c r="H9">
        <v>58.5</v>
      </c>
      <c r="J9">
        <v>14</v>
      </c>
      <c r="K9">
        <v>7</v>
      </c>
      <c r="L9">
        <v>13.5</v>
      </c>
      <c r="M9">
        <v>15</v>
      </c>
      <c r="N9">
        <v>68</v>
      </c>
      <c r="O9">
        <v>68</v>
      </c>
      <c r="P9">
        <v>28</v>
      </c>
      <c r="Q9">
        <v>29</v>
      </c>
      <c r="R9">
        <v>23</v>
      </c>
      <c r="S9">
        <v>23.5</v>
      </c>
      <c r="T9">
        <v>18</v>
      </c>
      <c r="U9">
        <v>84</v>
      </c>
      <c r="V9">
        <v>85.5</v>
      </c>
      <c r="W9">
        <v>41</v>
      </c>
      <c r="X9">
        <v>42</v>
      </c>
      <c r="Y9">
        <v>41</v>
      </c>
      <c r="Z9">
        <v>42</v>
      </c>
      <c r="AA9">
        <v>78</v>
      </c>
      <c r="AB9">
        <v>30</v>
      </c>
      <c r="AC9">
        <v>102.5</v>
      </c>
      <c r="AD9">
        <v>0.5</v>
      </c>
      <c r="AE9">
        <v>11</v>
      </c>
      <c r="AG9">
        <v>32</v>
      </c>
      <c r="AH9">
        <v>11.5</v>
      </c>
      <c r="AI9">
        <v>9.3000000000000007</v>
      </c>
      <c r="AJ9">
        <v>9.4</v>
      </c>
      <c r="AK9">
        <v>5.0999999999999996</v>
      </c>
      <c r="AL9">
        <v>5.4</v>
      </c>
      <c r="AM9">
        <v>3.4</v>
      </c>
      <c r="AN9">
        <v>3.4</v>
      </c>
      <c r="AO9">
        <v>1.3</v>
      </c>
      <c r="AP9">
        <v>1.6</v>
      </c>
      <c r="AQ9">
        <v>6.1</v>
      </c>
      <c r="AR9">
        <v>5.8</v>
      </c>
      <c r="AS9" s="11" t="s">
        <v>100</v>
      </c>
    </row>
    <row r="10" spans="1:45" ht="16" x14ac:dyDescent="0.2">
      <c r="A10" s="2" t="s">
        <v>37</v>
      </c>
      <c r="B10" s="3">
        <v>52</v>
      </c>
      <c r="C10" s="3" t="s">
        <v>4</v>
      </c>
      <c r="D10" s="2" t="s">
        <v>36</v>
      </c>
      <c r="E10" s="9">
        <v>1.38</v>
      </c>
      <c r="F10" s="9">
        <v>75</v>
      </c>
      <c r="G10">
        <f t="shared" si="0"/>
        <v>39.382482671707635</v>
      </c>
      <c r="H10">
        <v>58.5</v>
      </c>
      <c r="I10">
        <v>37</v>
      </c>
      <c r="J10">
        <v>9</v>
      </c>
      <c r="K10">
        <v>8.5</v>
      </c>
      <c r="L10">
        <v>12.5</v>
      </c>
      <c r="M10">
        <v>16</v>
      </c>
      <c r="N10">
        <v>55</v>
      </c>
      <c r="O10">
        <v>54</v>
      </c>
      <c r="P10">
        <v>20.5</v>
      </c>
      <c r="Q10">
        <v>20.5</v>
      </c>
      <c r="R10">
        <v>19</v>
      </c>
      <c r="S10">
        <v>18.5</v>
      </c>
      <c r="T10">
        <v>15.25</v>
      </c>
      <c r="U10">
        <v>63</v>
      </c>
      <c r="V10">
        <v>64</v>
      </c>
      <c r="W10">
        <v>36</v>
      </c>
      <c r="X10">
        <v>35.5</v>
      </c>
      <c r="Y10">
        <v>30.5</v>
      </c>
      <c r="Z10">
        <v>30</v>
      </c>
      <c r="AA10">
        <v>106</v>
      </c>
      <c r="AB10">
        <v>39.5</v>
      </c>
      <c r="AC10">
        <v>123</v>
      </c>
      <c r="AD10">
        <v>1.5</v>
      </c>
      <c r="AE10">
        <v>20</v>
      </c>
      <c r="AG10">
        <v>27</v>
      </c>
      <c r="AH10">
        <v>10</v>
      </c>
      <c r="AI10">
        <v>9.8000000000000007</v>
      </c>
      <c r="AJ10">
        <v>9.9</v>
      </c>
      <c r="AK10">
        <v>5.3</v>
      </c>
      <c r="AL10">
        <v>5.4</v>
      </c>
      <c r="AM10">
        <v>3.8</v>
      </c>
      <c r="AN10">
        <v>3.8</v>
      </c>
      <c r="AO10">
        <v>1.4</v>
      </c>
      <c r="AP10">
        <v>1.7</v>
      </c>
      <c r="AQ10">
        <v>5.9</v>
      </c>
      <c r="AR10">
        <v>6</v>
      </c>
      <c r="AS10" s="11" t="s">
        <v>100</v>
      </c>
    </row>
    <row r="11" spans="1:45" x14ac:dyDescent="0.2">
      <c r="A11" s="2" t="s">
        <v>35</v>
      </c>
      <c r="B11" s="3">
        <v>12</v>
      </c>
      <c r="C11" s="3" t="s">
        <v>1</v>
      </c>
      <c r="D11" s="2" t="s">
        <v>34</v>
      </c>
      <c r="E11" s="9">
        <v>1.63</v>
      </c>
      <c r="F11" s="9">
        <v>54.8</v>
      </c>
      <c r="G11">
        <f t="shared" si="0"/>
        <v>20.62554104407392</v>
      </c>
      <c r="H11">
        <v>55</v>
      </c>
      <c r="I11">
        <v>31</v>
      </c>
      <c r="J11">
        <v>16</v>
      </c>
      <c r="K11">
        <v>10</v>
      </c>
      <c r="L11">
        <v>12</v>
      </c>
      <c r="M11">
        <v>18.5</v>
      </c>
      <c r="N11">
        <v>68</v>
      </c>
      <c r="O11">
        <v>67</v>
      </c>
      <c r="P11">
        <v>27</v>
      </c>
      <c r="Q11">
        <v>26</v>
      </c>
      <c r="R11">
        <v>24.5</v>
      </c>
      <c r="S11">
        <v>24</v>
      </c>
      <c r="T11">
        <v>17</v>
      </c>
      <c r="U11">
        <v>81.5</v>
      </c>
      <c r="V11">
        <v>81.5</v>
      </c>
      <c r="W11">
        <v>39</v>
      </c>
      <c r="X11">
        <v>40</v>
      </c>
      <c r="Y11">
        <v>40</v>
      </c>
      <c r="Z11">
        <v>43</v>
      </c>
      <c r="AA11">
        <v>65.5</v>
      </c>
      <c r="AB11">
        <v>20.5</v>
      </c>
      <c r="AC11">
        <v>92</v>
      </c>
      <c r="AD11">
        <v>2</v>
      </c>
      <c r="AE11">
        <v>11</v>
      </c>
      <c r="AG11">
        <v>36</v>
      </c>
      <c r="AH11">
        <v>12.5</v>
      </c>
      <c r="AI11">
        <v>9.1</v>
      </c>
      <c r="AJ11">
        <v>9</v>
      </c>
      <c r="AK11">
        <v>5.9</v>
      </c>
      <c r="AL11">
        <v>5.6</v>
      </c>
      <c r="AM11">
        <v>3.7</v>
      </c>
      <c r="AN11">
        <v>3.6</v>
      </c>
      <c r="AO11">
        <v>1.7</v>
      </c>
      <c r="AP11">
        <v>1.6</v>
      </c>
      <c r="AQ11">
        <v>5.8</v>
      </c>
      <c r="AR11">
        <v>5.8</v>
      </c>
    </row>
    <row r="12" spans="1:45" ht="16" x14ac:dyDescent="0.2">
      <c r="A12" s="2" t="s">
        <v>33</v>
      </c>
      <c r="B12" s="3">
        <v>24</v>
      </c>
      <c r="C12" s="3" t="s">
        <v>4</v>
      </c>
      <c r="D12" s="2" t="s">
        <v>32</v>
      </c>
      <c r="E12" s="9">
        <v>1.49</v>
      </c>
      <c r="F12" s="9">
        <v>46</v>
      </c>
      <c r="G12">
        <f t="shared" si="0"/>
        <v>20.719787396964101</v>
      </c>
      <c r="H12">
        <v>54</v>
      </c>
      <c r="I12">
        <v>34</v>
      </c>
      <c r="J12">
        <v>13</v>
      </c>
      <c r="K12">
        <v>7</v>
      </c>
      <c r="L12">
        <v>13</v>
      </c>
      <c r="M12">
        <v>16</v>
      </c>
      <c r="N12">
        <v>61</v>
      </c>
      <c r="O12">
        <v>61</v>
      </c>
      <c r="P12">
        <v>24.5</v>
      </c>
      <c r="Q12">
        <v>24.5</v>
      </c>
      <c r="R12">
        <v>21</v>
      </c>
      <c r="S12">
        <v>21</v>
      </c>
      <c r="T12">
        <v>17</v>
      </c>
      <c r="U12">
        <v>77</v>
      </c>
      <c r="V12">
        <v>77.5</v>
      </c>
      <c r="W12">
        <v>39</v>
      </c>
      <c r="X12">
        <v>39</v>
      </c>
      <c r="Y12">
        <v>35</v>
      </c>
      <c r="Z12">
        <v>41</v>
      </c>
      <c r="AA12">
        <v>78</v>
      </c>
      <c r="AB12">
        <v>29</v>
      </c>
      <c r="AC12">
        <v>92</v>
      </c>
      <c r="AD12">
        <v>3</v>
      </c>
      <c r="AE12">
        <v>13</v>
      </c>
      <c r="AG12">
        <v>30</v>
      </c>
      <c r="AH12">
        <v>10.5</v>
      </c>
      <c r="AI12">
        <v>9.5</v>
      </c>
      <c r="AJ12">
        <v>9</v>
      </c>
      <c r="AK12">
        <v>4.5999999999999996</v>
      </c>
      <c r="AL12">
        <v>4.5999999999999996</v>
      </c>
      <c r="AM12">
        <v>3.5</v>
      </c>
      <c r="AN12">
        <v>3.7</v>
      </c>
      <c r="AO12">
        <v>1.4</v>
      </c>
      <c r="AP12">
        <v>1.4</v>
      </c>
      <c r="AQ12">
        <v>5.3</v>
      </c>
      <c r="AR12">
        <v>5.6</v>
      </c>
      <c r="AS12" s="11" t="s">
        <v>101</v>
      </c>
    </row>
    <row r="13" spans="1:45" x14ac:dyDescent="0.2">
      <c r="A13" s="2" t="s">
        <v>31</v>
      </c>
      <c r="B13" s="3">
        <v>21</v>
      </c>
      <c r="C13" s="3" t="s">
        <v>4</v>
      </c>
      <c r="D13" s="2" t="s">
        <v>30</v>
      </c>
      <c r="E13" s="9">
        <v>1.52</v>
      </c>
      <c r="F13" s="9">
        <v>62.8</v>
      </c>
      <c r="G13">
        <f t="shared" si="0"/>
        <v>27.181440443213294</v>
      </c>
      <c r="H13">
        <v>59</v>
      </c>
      <c r="I13">
        <v>34</v>
      </c>
      <c r="J13">
        <v>14</v>
      </c>
      <c r="K13">
        <v>9</v>
      </c>
      <c r="L13">
        <v>13</v>
      </c>
      <c r="M13">
        <v>16</v>
      </c>
      <c r="N13">
        <v>63</v>
      </c>
      <c r="O13">
        <v>63</v>
      </c>
      <c r="P13">
        <v>26</v>
      </c>
      <c r="Q13">
        <v>27</v>
      </c>
      <c r="R13">
        <v>21</v>
      </c>
      <c r="S13">
        <v>21.5</v>
      </c>
      <c r="T13">
        <v>17</v>
      </c>
      <c r="U13">
        <v>76</v>
      </c>
      <c r="V13">
        <v>76</v>
      </c>
      <c r="W13">
        <v>36</v>
      </c>
      <c r="X13">
        <v>36.5</v>
      </c>
      <c r="Y13">
        <v>35</v>
      </c>
      <c r="Z13">
        <v>38</v>
      </c>
      <c r="AA13">
        <v>77</v>
      </c>
      <c r="AB13">
        <v>26.5</v>
      </c>
      <c r="AC13">
        <v>99</v>
      </c>
      <c r="AD13">
        <v>2</v>
      </c>
      <c r="AE13">
        <v>19.5</v>
      </c>
      <c r="AG13">
        <v>34</v>
      </c>
      <c r="AH13">
        <v>10</v>
      </c>
      <c r="AI13">
        <v>10.5</v>
      </c>
      <c r="AJ13">
        <v>9.3000000000000007</v>
      </c>
      <c r="AK13">
        <v>4.8</v>
      </c>
      <c r="AL13">
        <v>5.0999999999999996</v>
      </c>
      <c r="AM13">
        <v>3.4</v>
      </c>
      <c r="AN13">
        <v>3.7</v>
      </c>
      <c r="AO13">
        <v>1.3</v>
      </c>
      <c r="AP13">
        <v>1.4</v>
      </c>
      <c r="AQ13">
        <v>4.8</v>
      </c>
      <c r="AR13">
        <v>5</v>
      </c>
    </row>
    <row r="14" spans="1:45" x14ac:dyDescent="0.2">
      <c r="A14" s="2" t="s">
        <v>29</v>
      </c>
      <c r="B14" s="3">
        <v>49</v>
      </c>
      <c r="C14" s="3" t="s">
        <v>4</v>
      </c>
      <c r="D14" s="2" t="s">
        <v>28</v>
      </c>
      <c r="E14" s="9">
        <v>1.61</v>
      </c>
      <c r="F14" s="9">
        <v>82.8</v>
      </c>
      <c r="G14">
        <f t="shared" si="0"/>
        <v>31.943212067435667</v>
      </c>
      <c r="H14">
        <v>58</v>
      </c>
      <c r="I14">
        <v>34.5</v>
      </c>
      <c r="J14">
        <v>13.5</v>
      </c>
      <c r="K14">
        <v>9.5</v>
      </c>
      <c r="L14">
        <v>11</v>
      </c>
      <c r="M14">
        <v>14</v>
      </c>
      <c r="N14">
        <v>65.5</v>
      </c>
      <c r="O14">
        <v>65.5</v>
      </c>
      <c r="P14">
        <v>26</v>
      </c>
      <c r="Q14">
        <v>25.5</v>
      </c>
      <c r="R14">
        <v>23.5</v>
      </c>
      <c r="S14">
        <v>22.5</v>
      </c>
      <c r="T14">
        <v>18</v>
      </c>
      <c r="U14">
        <v>85</v>
      </c>
      <c r="V14">
        <v>86.5</v>
      </c>
      <c r="W14">
        <v>37</v>
      </c>
      <c r="X14">
        <v>37</v>
      </c>
      <c r="Y14">
        <v>39</v>
      </c>
      <c r="Z14">
        <v>44</v>
      </c>
      <c r="AA14">
        <v>93</v>
      </c>
      <c r="AB14">
        <v>50</v>
      </c>
      <c r="AC14">
        <v>115</v>
      </c>
      <c r="AD14">
        <v>1.5</v>
      </c>
      <c r="AE14">
        <v>17</v>
      </c>
      <c r="AG14">
        <v>35.5</v>
      </c>
      <c r="AH14">
        <v>11</v>
      </c>
      <c r="AI14">
        <v>11</v>
      </c>
      <c r="AJ14">
        <v>11.2</v>
      </c>
      <c r="AK14">
        <v>5.3</v>
      </c>
      <c r="AL14">
        <v>5.5</v>
      </c>
      <c r="AM14">
        <v>3.5</v>
      </c>
      <c r="AN14">
        <v>3.2</v>
      </c>
      <c r="AO14">
        <v>1.6</v>
      </c>
      <c r="AP14">
        <v>1.2</v>
      </c>
      <c r="AQ14">
        <v>5.2</v>
      </c>
      <c r="AR14">
        <v>5.3</v>
      </c>
    </row>
    <row r="15" spans="1:45" ht="16" x14ac:dyDescent="0.2">
      <c r="A15" s="2" t="s">
        <v>27</v>
      </c>
      <c r="B15" s="3">
        <v>40</v>
      </c>
      <c r="C15" s="3" t="s">
        <v>4</v>
      </c>
      <c r="D15" s="2" t="s">
        <v>26</v>
      </c>
      <c r="E15" s="9">
        <v>1.52</v>
      </c>
      <c r="F15" s="9">
        <v>42.5</v>
      </c>
      <c r="G15">
        <f t="shared" si="0"/>
        <v>18.395083102493075</v>
      </c>
      <c r="H15">
        <v>56</v>
      </c>
      <c r="I15">
        <v>29</v>
      </c>
      <c r="J15">
        <v>16</v>
      </c>
      <c r="K15">
        <v>8.5</v>
      </c>
      <c r="L15">
        <v>13</v>
      </c>
      <c r="M15">
        <v>18</v>
      </c>
      <c r="N15">
        <v>66</v>
      </c>
      <c r="O15">
        <v>66</v>
      </c>
      <c r="Q15">
        <v>24.5</v>
      </c>
      <c r="R15">
        <v>22</v>
      </c>
      <c r="S15">
        <v>23.5</v>
      </c>
      <c r="T15">
        <v>17</v>
      </c>
      <c r="U15">
        <v>77</v>
      </c>
      <c r="V15">
        <v>78</v>
      </c>
      <c r="W15">
        <v>33</v>
      </c>
      <c r="X15">
        <v>37</v>
      </c>
      <c r="Y15">
        <v>40</v>
      </c>
      <c r="Z15">
        <v>38</v>
      </c>
      <c r="AA15">
        <v>61.5</v>
      </c>
      <c r="AB15">
        <v>28</v>
      </c>
      <c r="AC15">
        <v>84.5</v>
      </c>
      <c r="AD15">
        <v>3.5</v>
      </c>
      <c r="AE15">
        <v>13</v>
      </c>
      <c r="AG15">
        <v>33</v>
      </c>
      <c r="AH15">
        <v>11</v>
      </c>
      <c r="AI15">
        <v>8.5</v>
      </c>
      <c r="AJ15">
        <v>8.1</v>
      </c>
      <c r="AK15">
        <v>4.5</v>
      </c>
      <c r="AL15">
        <v>4.5999999999999996</v>
      </c>
      <c r="AM15">
        <v>3</v>
      </c>
      <c r="AN15">
        <v>3.3</v>
      </c>
      <c r="AO15">
        <v>1.4</v>
      </c>
      <c r="AP15">
        <v>1.2</v>
      </c>
      <c r="AQ15">
        <v>5.4</v>
      </c>
      <c r="AR15">
        <v>5.2</v>
      </c>
      <c r="AS15" s="11" t="s">
        <v>102</v>
      </c>
    </row>
    <row r="16" spans="1:45" x14ac:dyDescent="0.2">
      <c r="A16" s="2" t="s">
        <v>25</v>
      </c>
      <c r="B16" s="3">
        <v>24</v>
      </c>
      <c r="C16" s="3" t="s">
        <v>1</v>
      </c>
      <c r="D16" s="2" t="s">
        <v>24</v>
      </c>
      <c r="E16" s="9">
        <v>1.63</v>
      </c>
      <c r="F16" s="9">
        <v>51.2</v>
      </c>
      <c r="G16">
        <f t="shared" si="0"/>
        <v>19.2705784937333</v>
      </c>
      <c r="H16">
        <v>52</v>
      </c>
      <c r="I16">
        <v>28</v>
      </c>
      <c r="J16">
        <v>16</v>
      </c>
      <c r="K16">
        <v>9.5</v>
      </c>
      <c r="L16">
        <v>13</v>
      </c>
      <c r="M16">
        <v>14.5</v>
      </c>
      <c r="N16">
        <v>67</v>
      </c>
      <c r="O16">
        <v>68</v>
      </c>
      <c r="P16">
        <v>28.5</v>
      </c>
      <c r="Q16">
        <v>28.5</v>
      </c>
      <c r="R16">
        <v>24</v>
      </c>
      <c r="S16">
        <v>24</v>
      </c>
      <c r="T16">
        <v>17.5</v>
      </c>
      <c r="U16">
        <v>85</v>
      </c>
      <c r="V16">
        <v>84</v>
      </c>
      <c r="W16">
        <v>43.5</v>
      </c>
      <c r="X16">
        <v>43.5</v>
      </c>
      <c r="Y16">
        <v>34</v>
      </c>
      <c r="Z16">
        <v>40</v>
      </c>
      <c r="AA16">
        <v>66</v>
      </c>
      <c r="AB16">
        <v>23</v>
      </c>
      <c r="AC16">
        <v>88</v>
      </c>
      <c r="AD16">
        <v>1.5</v>
      </c>
      <c r="AE16">
        <v>11</v>
      </c>
      <c r="AG16">
        <v>37.5</v>
      </c>
      <c r="AH16">
        <v>12</v>
      </c>
      <c r="AI16">
        <v>7.9</v>
      </c>
      <c r="AJ16">
        <v>7.9</v>
      </c>
      <c r="AK16">
        <v>4.5</v>
      </c>
      <c r="AL16">
        <v>4.5</v>
      </c>
      <c r="AM16">
        <v>3</v>
      </c>
      <c r="AN16">
        <v>3.1</v>
      </c>
      <c r="AO16">
        <v>1.2</v>
      </c>
      <c r="AP16">
        <v>1</v>
      </c>
      <c r="AQ16">
        <v>5</v>
      </c>
      <c r="AR16">
        <v>5</v>
      </c>
    </row>
    <row r="17" spans="1:45" x14ac:dyDescent="0.2">
      <c r="A17" s="4" t="s">
        <v>23</v>
      </c>
      <c r="B17" s="3">
        <v>30</v>
      </c>
      <c r="C17" s="3" t="s">
        <v>1</v>
      </c>
      <c r="D17" s="2" t="s">
        <v>22</v>
      </c>
      <c r="E17" s="9">
        <v>1.59</v>
      </c>
      <c r="F17" s="9">
        <v>70.5</v>
      </c>
      <c r="G17">
        <f t="shared" si="0"/>
        <v>27.886555120446182</v>
      </c>
      <c r="H17">
        <v>55.5</v>
      </c>
      <c r="I17">
        <v>31.5</v>
      </c>
      <c r="J17">
        <v>15.5</v>
      </c>
      <c r="K17">
        <v>8.5</v>
      </c>
      <c r="L17">
        <v>10</v>
      </c>
      <c r="M17">
        <v>21.5</v>
      </c>
      <c r="N17">
        <v>66</v>
      </c>
      <c r="O17">
        <v>66</v>
      </c>
      <c r="P17">
        <v>26.5</v>
      </c>
      <c r="Q17">
        <v>27</v>
      </c>
      <c r="R17">
        <v>22.5</v>
      </c>
      <c r="S17">
        <v>22</v>
      </c>
      <c r="T17">
        <v>17.75</v>
      </c>
      <c r="U17">
        <v>82</v>
      </c>
      <c r="V17">
        <v>84</v>
      </c>
      <c r="W17">
        <v>41</v>
      </c>
      <c r="X17">
        <v>39</v>
      </c>
      <c r="Y17">
        <v>38</v>
      </c>
      <c r="Z17">
        <v>41</v>
      </c>
      <c r="AA17">
        <v>76.5</v>
      </c>
      <c r="AB17">
        <v>26.5</v>
      </c>
      <c r="AC17">
        <v>105</v>
      </c>
      <c r="AD17">
        <v>2.5</v>
      </c>
      <c r="AE17">
        <v>17</v>
      </c>
      <c r="AG17">
        <v>35.5</v>
      </c>
      <c r="AH17">
        <v>12.25</v>
      </c>
      <c r="AI17">
        <v>10.4</v>
      </c>
      <c r="AJ17">
        <v>10.4</v>
      </c>
      <c r="AK17">
        <v>4.7</v>
      </c>
      <c r="AL17">
        <v>4.8</v>
      </c>
      <c r="AM17">
        <v>3.2</v>
      </c>
      <c r="AN17">
        <v>3.2</v>
      </c>
      <c r="AO17">
        <v>1.3</v>
      </c>
      <c r="AP17">
        <v>1.3</v>
      </c>
      <c r="AQ17">
        <v>5.4</v>
      </c>
      <c r="AR17">
        <v>5.4</v>
      </c>
    </row>
    <row r="18" spans="1:45" x14ac:dyDescent="0.2">
      <c r="A18" s="2" t="s">
        <v>21</v>
      </c>
      <c r="B18" s="3">
        <v>47</v>
      </c>
      <c r="C18" s="3" t="s">
        <v>1</v>
      </c>
      <c r="D18" s="2" t="s">
        <v>20</v>
      </c>
      <c r="E18" s="9">
        <v>1.6</v>
      </c>
      <c r="F18" s="9">
        <v>53.4</v>
      </c>
      <c r="G18">
        <f t="shared" si="0"/>
        <v>20.859374999999996</v>
      </c>
      <c r="H18">
        <v>54</v>
      </c>
      <c r="I18">
        <v>30.5</v>
      </c>
      <c r="J18">
        <v>17</v>
      </c>
      <c r="K18">
        <v>11</v>
      </c>
      <c r="L18">
        <v>16.5</v>
      </c>
      <c r="M18">
        <v>20.5</v>
      </c>
      <c r="N18">
        <v>68.5</v>
      </c>
      <c r="O18">
        <v>67</v>
      </c>
      <c r="P18">
        <v>28</v>
      </c>
      <c r="Q18">
        <v>26</v>
      </c>
      <c r="R18">
        <v>24</v>
      </c>
      <c r="S18">
        <v>24</v>
      </c>
      <c r="T18">
        <v>17</v>
      </c>
      <c r="U18">
        <v>84.5</v>
      </c>
      <c r="V18">
        <v>85.5</v>
      </c>
      <c r="W18">
        <v>44</v>
      </c>
      <c r="X18">
        <v>44.5</v>
      </c>
      <c r="Y18">
        <v>39.5</v>
      </c>
      <c r="Z18">
        <v>39.5</v>
      </c>
      <c r="AA18">
        <v>73</v>
      </c>
      <c r="AB18">
        <v>25.5</v>
      </c>
      <c r="AC18">
        <v>96</v>
      </c>
      <c r="AD18">
        <v>1</v>
      </c>
      <c r="AE18">
        <v>20</v>
      </c>
      <c r="AG18">
        <v>35</v>
      </c>
      <c r="AH18">
        <v>11.5</v>
      </c>
      <c r="AI18">
        <v>7.9</v>
      </c>
      <c r="AJ18">
        <v>8.3000000000000007</v>
      </c>
      <c r="AK18">
        <v>5.5</v>
      </c>
      <c r="AL18">
        <v>5.7</v>
      </c>
      <c r="AM18">
        <v>4</v>
      </c>
      <c r="AN18">
        <v>3.7</v>
      </c>
      <c r="AO18">
        <v>1.6</v>
      </c>
      <c r="AP18">
        <v>1.2</v>
      </c>
      <c r="AQ18">
        <v>5.3</v>
      </c>
      <c r="AR18">
        <v>4.9000000000000004</v>
      </c>
    </row>
    <row r="19" spans="1:45" x14ac:dyDescent="0.2">
      <c r="A19" s="2" t="s">
        <v>19</v>
      </c>
      <c r="B19" s="3">
        <v>34</v>
      </c>
      <c r="C19" s="3" t="s">
        <v>4</v>
      </c>
      <c r="D19" s="2" t="s">
        <v>18</v>
      </c>
      <c r="E19" s="9">
        <v>1.635</v>
      </c>
      <c r="F19" s="9">
        <v>84.2</v>
      </c>
      <c r="G19">
        <f t="shared" si="0"/>
        <v>31.497535748019715</v>
      </c>
      <c r="H19">
        <v>58.5</v>
      </c>
      <c r="I19">
        <v>37</v>
      </c>
      <c r="J19">
        <v>15</v>
      </c>
      <c r="K19">
        <v>9.5</v>
      </c>
      <c r="L19">
        <v>8</v>
      </c>
      <c r="M19">
        <v>14</v>
      </c>
      <c r="N19">
        <v>66</v>
      </c>
      <c r="O19">
        <v>66</v>
      </c>
      <c r="P19">
        <v>26.5</v>
      </c>
      <c r="Q19">
        <v>26</v>
      </c>
      <c r="R19">
        <v>22.5</v>
      </c>
      <c r="S19">
        <v>23</v>
      </c>
      <c r="T19">
        <v>18.5</v>
      </c>
      <c r="U19">
        <v>82</v>
      </c>
      <c r="V19">
        <v>83</v>
      </c>
      <c r="W19">
        <v>36</v>
      </c>
      <c r="X19">
        <v>36.5</v>
      </c>
      <c r="Y19">
        <v>42</v>
      </c>
      <c r="Z19">
        <v>39.5</v>
      </c>
      <c r="AA19">
        <v>91</v>
      </c>
      <c r="AB19">
        <v>31</v>
      </c>
      <c r="AD19">
        <v>0.5</v>
      </c>
      <c r="AE19">
        <v>17.5</v>
      </c>
      <c r="AG19">
        <v>36</v>
      </c>
      <c r="AH19">
        <v>11.5</v>
      </c>
      <c r="AI19">
        <v>11.2</v>
      </c>
      <c r="AJ19">
        <v>11.2</v>
      </c>
      <c r="AK19">
        <v>5.9</v>
      </c>
      <c r="AL19">
        <v>5.7</v>
      </c>
      <c r="AM19">
        <v>3.4</v>
      </c>
      <c r="AN19">
        <v>3.2</v>
      </c>
      <c r="AO19">
        <v>1.5</v>
      </c>
      <c r="AP19">
        <v>1.5</v>
      </c>
      <c r="AQ19">
        <v>5.7</v>
      </c>
      <c r="AR19">
        <v>5.7</v>
      </c>
    </row>
    <row r="20" spans="1:45" ht="16" x14ac:dyDescent="0.2">
      <c r="A20" s="2" t="s">
        <v>17</v>
      </c>
      <c r="B20" s="3">
        <v>52</v>
      </c>
      <c r="C20" s="3" t="s">
        <v>4</v>
      </c>
      <c r="D20" s="2" t="s">
        <v>16</v>
      </c>
      <c r="E20" s="9">
        <v>1.44</v>
      </c>
      <c r="F20" s="9">
        <v>60.8</v>
      </c>
      <c r="G20">
        <f>F20/(E20)^2</f>
        <v>29.320987654320987</v>
      </c>
      <c r="H20">
        <v>57</v>
      </c>
      <c r="I20">
        <v>41</v>
      </c>
      <c r="J20">
        <v>10</v>
      </c>
      <c r="K20">
        <v>7.5</v>
      </c>
      <c r="L20">
        <v>12.5</v>
      </c>
      <c r="M20">
        <v>14</v>
      </c>
      <c r="N20">
        <v>59</v>
      </c>
      <c r="O20">
        <v>58.5</v>
      </c>
      <c r="P20">
        <v>22</v>
      </c>
      <c r="Q20">
        <v>22</v>
      </c>
      <c r="R20">
        <v>21</v>
      </c>
      <c r="S20">
        <v>21</v>
      </c>
      <c r="T20">
        <v>16.5</v>
      </c>
      <c r="U20">
        <v>75.5</v>
      </c>
      <c r="V20">
        <v>76</v>
      </c>
      <c r="W20">
        <v>37</v>
      </c>
      <c r="X20">
        <v>37</v>
      </c>
      <c r="Y20">
        <v>35.5</v>
      </c>
      <c r="Z20">
        <v>38</v>
      </c>
      <c r="AA20">
        <v>84</v>
      </c>
      <c r="AB20">
        <v>30</v>
      </c>
      <c r="AC20">
        <v>99</v>
      </c>
      <c r="AD20">
        <v>2.5</v>
      </c>
      <c r="AE20">
        <v>17.5</v>
      </c>
      <c r="AF20">
        <v>36</v>
      </c>
      <c r="AG20">
        <v>34</v>
      </c>
      <c r="AH20">
        <v>10</v>
      </c>
      <c r="AI20">
        <v>10.5</v>
      </c>
      <c r="AJ20">
        <v>10.5</v>
      </c>
      <c r="AK20">
        <v>5.5</v>
      </c>
      <c r="AL20">
        <v>5.5</v>
      </c>
      <c r="AM20">
        <v>3.5</v>
      </c>
      <c r="AN20">
        <v>3.4</v>
      </c>
      <c r="AO20">
        <v>1.3</v>
      </c>
      <c r="AP20">
        <v>1.3</v>
      </c>
      <c r="AQ20">
        <v>5.4</v>
      </c>
      <c r="AR20">
        <v>5.2</v>
      </c>
      <c r="AS20" s="11" t="s">
        <v>103</v>
      </c>
    </row>
    <row r="21" spans="1:45" x14ac:dyDescent="0.2">
      <c r="A21" s="2" t="s">
        <v>15</v>
      </c>
      <c r="B21" s="3">
        <v>41</v>
      </c>
      <c r="C21" s="3" t="s">
        <v>4</v>
      </c>
      <c r="D21" s="2" t="s">
        <v>14</v>
      </c>
      <c r="E21" s="9">
        <v>1.4950000000000001</v>
      </c>
      <c r="F21" s="9">
        <v>55.6</v>
      </c>
      <c r="G21">
        <f>F21/(E21)^2</f>
        <v>24.876679231775928</v>
      </c>
      <c r="H21">
        <v>58</v>
      </c>
      <c r="I21">
        <v>31.5</v>
      </c>
      <c r="J21">
        <v>14</v>
      </c>
      <c r="K21">
        <v>7.5</v>
      </c>
      <c r="L21">
        <v>16</v>
      </c>
      <c r="M21">
        <v>17</v>
      </c>
      <c r="N21">
        <v>65</v>
      </c>
      <c r="O21">
        <v>64</v>
      </c>
      <c r="P21">
        <v>25</v>
      </c>
      <c r="Q21">
        <v>25</v>
      </c>
      <c r="R21">
        <v>23</v>
      </c>
      <c r="S21">
        <v>23.5</v>
      </c>
      <c r="T21">
        <v>17</v>
      </c>
      <c r="U21">
        <v>75.5</v>
      </c>
      <c r="V21">
        <v>77</v>
      </c>
      <c r="W21">
        <v>37.5</v>
      </c>
      <c r="X21">
        <v>37</v>
      </c>
      <c r="Y21">
        <v>37</v>
      </c>
      <c r="Z21">
        <v>38</v>
      </c>
      <c r="AA21">
        <v>75</v>
      </c>
      <c r="AB21">
        <v>28</v>
      </c>
      <c r="AC21">
        <v>93</v>
      </c>
      <c r="AD21">
        <v>0.5</v>
      </c>
      <c r="AE21">
        <v>18</v>
      </c>
      <c r="AF21">
        <v>35</v>
      </c>
      <c r="AG21">
        <v>34</v>
      </c>
      <c r="AH21">
        <v>10</v>
      </c>
      <c r="AI21">
        <v>9.1999999999999993</v>
      </c>
      <c r="AJ21">
        <v>9.1</v>
      </c>
      <c r="AK21">
        <v>4.9000000000000004</v>
      </c>
      <c r="AL21">
        <v>4.8</v>
      </c>
      <c r="AM21">
        <v>3.1</v>
      </c>
      <c r="AN21">
        <v>3</v>
      </c>
      <c r="AO21">
        <v>1.5</v>
      </c>
      <c r="AP21">
        <v>1.6</v>
      </c>
      <c r="AQ21">
        <v>4.8</v>
      </c>
      <c r="AR21">
        <v>4.9000000000000004</v>
      </c>
    </row>
    <row r="22" spans="1:45" x14ac:dyDescent="0.2">
      <c r="A22" s="2" t="s">
        <v>13</v>
      </c>
      <c r="B22" s="3">
        <v>52</v>
      </c>
      <c r="C22" s="3" t="s">
        <v>4</v>
      </c>
      <c r="D22" s="2" t="s">
        <v>12</v>
      </c>
      <c r="E22" s="9">
        <v>1.52</v>
      </c>
      <c r="F22" s="9">
        <v>64.2</v>
      </c>
      <c r="G22">
        <f>F22/(E22)^2</f>
        <v>27.787396121883656</v>
      </c>
      <c r="H22">
        <v>60</v>
      </c>
      <c r="I22">
        <v>36</v>
      </c>
      <c r="J22">
        <v>13</v>
      </c>
      <c r="K22">
        <v>8</v>
      </c>
      <c r="L22">
        <v>11</v>
      </c>
      <c r="M22">
        <v>17</v>
      </c>
      <c r="N22">
        <v>60.5</v>
      </c>
      <c r="O22">
        <v>62</v>
      </c>
      <c r="P22">
        <v>24</v>
      </c>
      <c r="Q22">
        <v>24</v>
      </c>
      <c r="R22">
        <v>22</v>
      </c>
      <c r="S22">
        <v>21</v>
      </c>
      <c r="T22">
        <v>17</v>
      </c>
      <c r="U22">
        <v>76</v>
      </c>
      <c r="V22">
        <v>75.5</v>
      </c>
      <c r="W22">
        <v>38</v>
      </c>
      <c r="X22">
        <v>38</v>
      </c>
      <c r="Y22">
        <v>39</v>
      </c>
      <c r="Z22">
        <v>41</v>
      </c>
      <c r="AA22">
        <v>98.5</v>
      </c>
      <c r="AB22">
        <v>34</v>
      </c>
      <c r="AC22">
        <v>112</v>
      </c>
      <c r="AD22">
        <v>1</v>
      </c>
      <c r="AE22">
        <v>16.5</v>
      </c>
      <c r="AF22">
        <v>40.5</v>
      </c>
      <c r="AG22">
        <v>30.3</v>
      </c>
      <c r="AH22">
        <v>10</v>
      </c>
      <c r="AI22">
        <v>9.8000000000000007</v>
      </c>
      <c r="AJ22">
        <v>10.7</v>
      </c>
      <c r="AK22">
        <v>4.8</v>
      </c>
      <c r="AL22">
        <v>5.2</v>
      </c>
      <c r="AM22">
        <v>3.1</v>
      </c>
      <c r="AO22">
        <v>1.3</v>
      </c>
      <c r="AP22">
        <v>1.3</v>
      </c>
      <c r="AQ22">
        <v>5.3</v>
      </c>
      <c r="AR22">
        <v>5.3</v>
      </c>
    </row>
    <row r="23" spans="1:45" x14ac:dyDescent="0.2">
      <c r="A23" s="2" t="s">
        <v>11</v>
      </c>
      <c r="B23" s="3">
        <v>56</v>
      </c>
      <c r="C23" s="3" t="s">
        <v>4</v>
      </c>
      <c r="D23" s="2" t="s">
        <v>10</v>
      </c>
      <c r="E23" s="9">
        <v>1.48</v>
      </c>
      <c r="F23" s="9">
        <v>55.2</v>
      </c>
      <c r="G23">
        <f>F23/(E23)^2</f>
        <v>25.200876552227907</v>
      </c>
      <c r="H23">
        <v>56</v>
      </c>
      <c r="I23">
        <v>34</v>
      </c>
      <c r="J23">
        <v>14</v>
      </c>
      <c r="K23">
        <v>10</v>
      </c>
      <c r="L23">
        <v>16</v>
      </c>
      <c r="M23">
        <v>21</v>
      </c>
      <c r="N23">
        <v>57</v>
      </c>
      <c r="O23">
        <v>57</v>
      </c>
      <c r="P23">
        <v>22</v>
      </c>
      <c r="Q23">
        <v>21.5</v>
      </c>
      <c r="R23">
        <v>20</v>
      </c>
      <c r="S23">
        <v>20</v>
      </c>
      <c r="T23">
        <v>16.5</v>
      </c>
      <c r="U23">
        <v>77</v>
      </c>
      <c r="V23">
        <v>77</v>
      </c>
      <c r="W23">
        <v>36</v>
      </c>
      <c r="X23">
        <v>35</v>
      </c>
      <c r="Y23">
        <v>41</v>
      </c>
      <c r="Z23">
        <v>45</v>
      </c>
      <c r="AA23">
        <v>90</v>
      </c>
      <c r="AB23">
        <v>32</v>
      </c>
      <c r="AC23">
        <v>87</v>
      </c>
      <c r="AD23">
        <v>3</v>
      </c>
      <c r="AE23">
        <v>14</v>
      </c>
      <c r="AF23">
        <v>37</v>
      </c>
      <c r="AG23">
        <v>39</v>
      </c>
      <c r="AH23">
        <v>10</v>
      </c>
      <c r="AI23">
        <v>8</v>
      </c>
      <c r="AJ23">
        <v>7.4</v>
      </c>
      <c r="AK23">
        <v>5.7</v>
      </c>
      <c r="AL23">
        <v>5</v>
      </c>
      <c r="AM23">
        <v>3.2</v>
      </c>
      <c r="AN23">
        <v>3.2</v>
      </c>
      <c r="AO23">
        <v>1.1000000000000001</v>
      </c>
      <c r="AP23">
        <v>1.3</v>
      </c>
      <c r="AQ23">
        <v>4.2</v>
      </c>
      <c r="AR23">
        <v>4.7</v>
      </c>
    </row>
    <row r="24" spans="1:45" x14ac:dyDescent="0.2">
      <c r="A24" s="2" t="s">
        <v>9</v>
      </c>
      <c r="B24" s="3">
        <v>57</v>
      </c>
      <c r="C24" s="3" t="s">
        <v>1</v>
      </c>
      <c r="D24" s="2" t="s">
        <v>8</v>
      </c>
      <c r="E24" s="9">
        <v>1.72</v>
      </c>
      <c r="F24" s="9">
        <v>83</v>
      </c>
      <c r="G24">
        <f>F24/(E24)^2</f>
        <v>28.055705786911847</v>
      </c>
      <c r="H24">
        <v>57</v>
      </c>
      <c r="I24">
        <v>35</v>
      </c>
      <c r="J24">
        <v>18</v>
      </c>
      <c r="K24">
        <v>10</v>
      </c>
      <c r="L24">
        <v>14</v>
      </c>
      <c r="M24">
        <v>17.5</v>
      </c>
      <c r="N24">
        <v>74.5</v>
      </c>
      <c r="O24">
        <v>74</v>
      </c>
      <c r="P24">
        <v>31</v>
      </c>
      <c r="Q24">
        <v>31</v>
      </c>
      <c r="R24">
        <v>26</v>
      </c>
      <c r="S24">
        <v>25.5</v>
      </c>
      <c r="T24">
        <v>18.75</v>
      </c>
      <c r="U24">
        <v>88</v>
      </c>
      <c r="V24">
        <v>88</v>
      </c>
      <c r="W24">
        <v>39</v>
      </c>
      <c r="X24">
        <v>39.5</v>
      </c>
      <c r="Y24">
        <v>42.5</v>
      </c>
      <c r="Z24">
        <v>45.5</v>
      </c>
      <c r="AA24">
        <v>85</v>
      </c>
      <c r="AB24">
        <v>31</v>
      </c>
      <c r="AC24">
        <v>111.5</v>
      </c>
      <c r="AD24">
        <v>3</v>
      </c>
      <c r="AE24">
        <v>12</v>
      </c>
      <c r="AF24">
        <v>40.5</v>
      </c>
      <c r="AG24">
        <v>38.5</v>
      </c>
      <c r="AH24">
        <v>11</v>
      </c>
      <c r="AI24">
        <v>11.3</v>
      </c>
      <c r="AJ24">
        <v>11</v>
      </c>
      <c r="AK24">
        <v>5.6</v>
      </c>
      <c r="AL24">
        <v>5.3</v>
      </c>
      <c r="AM24">
        <v>3.5</v>
      </c>
      <c r="AN24">
        <v>3.5</v>
      </c>
      <c r="AO24">
        <v>1.5</v>
      </c>
      <c r="AP24">
        <v>1.4</v>
      </c>
      <c r="AQ24">
        <v>6.5</v>
      </c>
      <c r="AR24">
        <v>6.5</v>
      </c>
    </row>
    <row r="25" spans="1:45" x14ac:dyDescent="0.2">
      <c r="A25" s="2" t="s">
        <v>7</v>
      </c>
      <c r="B25" s="3">
        <v>21</v>
      </c>
      <c r="C25" s="3" t="s">
        <v>4</v>
      </c>
      <c r="D25" s="2" t="s">
        <v>6</v>
      </c>
      <c r="E25" s="12">
        <v>1.49</v>
      </c>
      <c r="F25" s="12">
        <v>64</v>
      </c>
      <c r="G25" s="13">
        <v>28.827530289999999</v>
      </c>
      <c r="H25" s="13">
        <v>60</v>
      </c>
      <c r="I25" s="13">
        <v>33</v>
      </c>
      <c r="J25" s="13">
        <v>15.5</v>
      </c>
      <c r="K25" s="13">
        <v>8</v>
      </c>
      <c r="L25" s="13">
        <v>12</v>
      </c>
      <c r="M25" s="13">
        <v>15</v>
      </c>
      <c r="N25" s="13">
        <v>61</v>
      </c>
      <c r="O25" s="13">
        <v>61</v>
      </c>
      <c r="P25" s="13">
        <v>22</v>
      </c>
      <c r="Q25" s="13">
        <v>22</v>
      </c>
      <c r="R25" s="13">
        <v>21</v>
      </c>
      <c r="S25" s="13">
        <v>21</v>
      </c>
      <c r="T25" s="13">
        <v>17</v>
      </c>
      <c r="U25" s="13">
        <v>74</v>
      </c>
      <c r="V25" s="13">
        <v>74</v>
      </c>
      <c r="W25" s="13">
        <v>36</v>
      </c>
      <c r="X25" s="13">
        <v>35.5</v>
      </c>
      <c r="Y25" s="13">
        <v>34</v>
      </c>
      <c r="Z25" s="13">
        <v>33</v>
      </c>
      <c r="AA25" s="13">
        <v>76.5</v>
      </c>
      <c r="AB25" s="13">
        <v>28</v>
      </c>
      <c r="AC25" s="13">
        <v>100</v>
      </c>
      <c r="AD25" s="13">
        <v>2</v>
      </c>
      <c r="AE25" s="13">
        <v>15.5</v>
      </c>
      <c r="AF25" s="13">
        <v>39</v>
      </c>
      <c r="AG25" s="13">
        <v>32</v>
      </c>
      <c r="AH25" s="13">
        <v>11</v>
      </c>
      <c r="AI25" s="13">
        <v>9.6999999999999993</v>
      </c>
      <c r="AJ25" s="13">
        <v>9.6999999999999993</v>
      </c>
      <c r="AK25" s="13">
        <v>4.9000000000000004</v>
      </c>
      <c r="AL25" s="13">
        <v>4.9000000000000004</v>
      </c>
      <c r="AM25" s="13">
        <v>3.2</v>
      </c>
      <c r="AN25" s="13">
        <v>3.2</v>
      </c>
      <c r="AO25" s="13">
        <v>1.1000000000000001</v>
      </c>
      <c r="AP25" s="13">
        <v>1.1000000000000001</v>
      </c>
      <c r="AQ25" s="13">
        <v>4.8</v>
      </c>
      <c r="AR25" s="13">
        <v>4.7</v>
      </c>
      <c r="AS25" s="13"/>
    </row>
    <row r="26" spans="1:45" x14ac:dyDescent="0.2">
      <c r="A26" s="2" t="s">
        <v>5</v>
      </c>
      <c r="B26" s="3">
        <v>39</v>
      </c>
      <c r="C26" s="3" t="s">
        <v>4</v>
      </c>
      <c r="D26" s="2" t="s">
        <v>3</v>
      </c>
      <c r="E26" s="9">
        <v>1.42</v>
      </c>
      <c r="F26" s="9">
        <v>46.7</v>
      </c>
      <c r="G26" s="13">
        <v>28.827530289999999</v>
      </c>
      <c r="H26">
        <v>53</v>
      </c>
      <c r="I26">
        <v>31</v>
      </c>
      <c r="J26">
        <v>15</v>
      </c>
      <c r="K26">
        <v>9</v>
      </c>
      <c r="L26">
        <v>14</v>
      </c>
      <c r="M26">
        <v>18.5</v>
      </c>
      <c r="N26">
        <v>57</v>
      </c>
      <c r="O26">
        <v>57</v>
      </c>
      <c r="P26">
        <v>24</v>
      </c>
      <c r="Q26">
        <v>24</v>
      </c>
      <c r="R26">
        <v>19</v>
      </c>
      <c r="S26">
        <v>19</v>
      </c>
      <c r="T26">
        <v>16</v>
      </c>
      <c r="U26">
        <v>67</v>
      </c>
      <c r="V26">
        <v>68.5</v>
      </c>
      <c r="W26">
        <v>34</v>
      </c>
      <c r="X26">
        <v>33</v>
      </c>
      <c r="Y26">
        <v>33.5</v>
      </c>
      <c r="Z26">
        <v>37</v>
      </c>
      <c r="AA26">
        <v>73</v>
      </c>
      <c r="AB26">
        <v>31</v>
      </c>
      <c r="AC26">
        <v>88</v>
      </c>
      <c r="AD26">
        <v>1</v>
      </c>
      <c r="AE26">
        <v>17.5</v>
      </c>
      <c r="AF26">
        <v>33</v>
      </c>
      <c r="AG26">
        <v>29.5</v>
      </c>
      <c r="AH26">
        <v>10</v>
      </c>
      <c r="AI26">
        <v>8</v>
      </c>
      <c r="AJ26">
        <v>8</v>
      </c>
      <c r="AK26">
        <v>4.5999999999999996</v>
      </c>
      <c r="AL26">
        <v>4.5999999999999996</v>
      </c>
      <c r="AM26">
        <v>3.4</v>
      </c>
      <c r="AN26">
        <v>3.4</v>
      </c>
      <c r="AO26">
        <v>1.3</v>
      </c>
      <c r="AP26">
        <v>1.3</v>
      </c>
      <c r="AQ26">
        <v>4.7</v>
      </c>
      <c r="AR26">
        <v>4.7</v>
      </c>
    </row>
    <row r="27" spans="1:45" ht="16" x14ac:dyDescent="0.2">
      <c r="A27" s="2" t="s">
        <v>2</v>
      </c>
      <c r="B27" s="3">
        <v>58</v>
      </c>
      <c r="C27" s="3" t="s">
        <v>1</v>
      </c>
      <c r="D27" s="2" t="s">
        <v>0</v>
      </c>
      <c r="E27" s="9">
        <v>1.59</v>
      </c>
      <c r="F27" s="9">
        <v>59.5</v>
      </c>
      <c r="G27" s="13">
        <v>28.827530289999999</v>
      </c>
      <c r="H27">
        <v>54.5</v>
      </c>
      <c r="I27">
        <v>31</v>
      </c>
      <c r="J27">
        <v>17.5</v>
      </c>
      <c r="K27">
        <v>11</v>
      </c>
      <c r="L27">
        <v>15</v>
      </c>
      <c r="M27">
        <v>19.5</v>
      </c>
      <c r="N27">
        <v>63.5</v>
      </c>
      <c r="O27">
        <v>63.5</v>
      </c>
      <c r="P27">
        <v>25.5</v>
      </c>
      <c r="Q27">
        <v>25.5</v>
      </c>
      <c r="R27">
        <v>22</v>
      </c>
      <c r="S27">
        <v>21</v>
      </c>
      <c r="T27">
        <v>17</v>
      </c>
      <c r="U27">
        <v>81.5</v>
      </c>
      <c r="V27">
        <v>81.5</v>
      </c>
      <c r="W27">
        <v>35.5</v>
      </c>
      <c r="X27">
        <v>35</v>
      </c>
      <c r="Y27">
        <v>39.5</v>
      </c>
      <c r="Z27">
        <v>42</v>
      </c>
      <c r="AA27">
        <v>72.5</v>
      </c>
      <c r="AB27">
        <v>26.5</v>
      </c>
      <c r="AC27">
        <v>96</v>
      </c>
      <c r="AD27">
        <v>2</v>
      </c>
      <c r="AE27">
        <v>11</v>
      </c>
      <c r="AF27">
        <v>40</v>
      </c>
      <c r="AG27">
        <v>33</v>
      </c>
      <c r="AH27">
        <v>10.5</v>
      </c>
      <c r="AI27">
        <v>8.6</v>
      </c>
      <c r="AJ27">
        <v>8.6</v>
      </c>
      <c r="AK27">
        <v>4.8</v>
      </c>
      <c r="AL27">
        <v>4.8</v>
      </c>
      <c r="AM27">
        <v>3.6</v>
      </c>
      <c r="AN27">
        <v>3.7</v>
      </c>
      <c r="AO27">
        <v>1.5</v>
      </c>
      <c r="AP27">
        <v>1.5</v>
      </c>
      <c r="AQ27">
        <v>4.8</v>
      </c>
      <c r="AR27">
        <v>4.8</v>
      </c>
      <c r="AS27" s="11" t="s">
        <v>104</v>
      </c>
    </row>
    <row r="28" spans="1:45" x14ac:dyDescent="0.2">
      <c r="A28" s="2"/>
      <c r="B28" s="3"/>
      <c r="C28" s="3"/>
      <c r="D28" s="2"/>
    </row>
    <row r="29" spans="1:45" x14ac:dyDescent="0.2">
      <c r="A29" s="2"/>
      <c r="B29" s="3"/>
      <c r="C29" s="3"/>
      <c r="D29" s="2"/>
    </row>
    <row r="30" spans="1:45" x14ac:dyDescent="0.2">
      <c r="A30" s="2"/>
      <c r="B30" s="3"/>
      <c r="C30" s="3"/>
      <c r="D30" s="2"/>
    </row>
    <row r="31" spans="1:45" x14ac:dyDescent="0.2">
      <c r="A31" s="2"/>
      <c r="B31" s="3"/>
      <c r="C31" s="3"/>
      <c r="D31" s="2"/>
    </row>
    <row r="32" spans="1:45" x14ac:dyDescent="0.2">
      <c r="A32" s="2"/>
      <c r="B32" s="3"/>
      <c r="C32" s="3"/>
      <c r="D32" s="2"/>
    </row>
    <row r="33" spans="1:4" x14ac:dyDescent="0.2">
      <c r="A33" s="2"/>
      <c r="B33" s="3"/>
      <c r="C33" s="3"/>
      <c r="D33" s="2"/>
    </row>
    <row r="34" spans="1:4" x14ac:dyDescent="0.2">
      <c r="A34" s="2"/>
      <c r="B34" s="3"/>
      <c r="C34" s="3"/>
      <c r="D34" s="2"/>
    </row>
    <row r="35" spans="1:4" x14ac:dyDescent="0.2">
      <c r="A35" s="2"/>
      <c r="B35" s="3"/>
      <c r="C35" s="3"/>
      <c r="D35" s="2"/>
    </row>
    <row r="36" spans="1:4" x14ac:dyDescent="0.2">
      <c r="A36" s="2"/>
      <c r="B36" s="3"/>
      <c r="C36" s="3"/>
      <c r="D36" s="2"/>
    </row>
    <row r="37" spans="1:4" x14ac:dyDescent="0.2">
      <c r="A37" s="2"/>
      <c r="B37" s="3"/>
      <c r="C37" s="3"/>
      <c r="D37" s="2"/>
    </row>
    <row r="38" spans="1:4" x14ac:dyDescent="0.2">
      <c r="A38" s="2"/>
      <c r="B38" s="3"/>
      <c r="C38" s="3"/>
      <c r="D38" s="2"/>
    </row>
    <row r="39" spans="1:4" x14ac:dyDescent="0.2">
      <c r="A39" s="2"/>
      <c r="B39" s="3"/>
      <c r="C39" s="3"/>
      <c r="D39" s="2"/>
    </row>
    <row r="40" spans="1:4" x14ac:dyDescent="0.2">
      <c r="A40" s="2"/>
      <c r="B40" s="3"/>
      <c r="C40" s="3"/>
      <c r="D40" s="2"/>
    </row>
    <row r="41" spans="1:4" x14ac:dyDescent="0.2">
      <c r="A41" s="2"/>
      <c r="B41" s="3"/>
      <c r="C41" s="3"/>
      <c r="D41" s="2"/>
    </row>
    <row r="42" spans="1:4" x14ac:dyDescent="0.2">
      <c r="A42" s="2"/>
      <c r="B42" s="3"/>
      <c r="C42" s="3"/>
      <c r="D42" s="2"/>
    </row>
    <row r="43" spans="1:4" x14ac:dyDescent="0.2">
      <c r="A43" s="2"/>
      <c r="B43" s="3"/>
      <c r="C43" s="3"/>
      <c r="D43" s="2"/>
    </row>
    <row r="44" spans="1:4" x14ac:dyDescent="0.2">
      <c r="A44" s="2"/>
      <c r="B44" s="3"/>
      <c r="C44" s="3"/>
      <c r="D44" s="2"/>
    </row>
    <row r="45" spans="1:4" x14ac:dyDescent="0.2">
      <c r="A45" s="2"/>
      <c r="B45" s="3"/>
      <c r="C45" s="3"/>
      <c r="D45" s="2"/>
    </row>
    <row r="46" spans="1:4" x14ac:dyDescent="0.2">
      <c r="A46" s="2"/>
      <c r="B46" s="3"/>
      <c r="C46" s="3"/>
      <c r="D46" s="2"/>
    </row>
    <row r="47" spans="1:4" x14ac:dyDescent="0.2">
      <c r="A47" s="2"/>
      <c r="B47" s="3"/>
      <c r="C47" s="3"/>
      <c r="D47" s="2"/>
    </row>
    <row r="48" spans="1:4" x14ac:dyDescent="0.2">
      <c r="A48" s="2"/>
      <c r="B48" s="3"/>
      <c r="C48" s="3"/>
      <c r="D48" s="2"/>
    </row>
    <row r="49" spans="1:4" x14ac:dyDescent="0.2">
      <c r="A49" s="2"/>
      <c r="B49" s="3"/>
      <c r="C49" s="3"/>
      <c r="D49" s="2"/>
    </row>
    <row r="50" spans="1:4" x14ac:dyDescent="0.2">
      <c r="A50" s="2"/>
      <c r="B50" s="3"/>
      <c r="C50" s="3"/>
      <c r="D50" s="2"/>
    </row>
    <row r="51" spans="1:4" x14ac:dyDescent="0.2">
      <c r="A51" s="2"/>
      <c r="B51" s="3"/>
      <c r="C51" s="3"/>
      <c r="D51" s="2"/>
    </row>
    <row r="52" spans="1:4" x14ac:dyDescent="0.2">
      <c r="A52" s="2"/>
      <c r="B52" s="3"/>
      <c r="C52" s="3"/>
      <c r="D5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20575-7707-47AA-B78A-CE78A7BA945F}">
  <dimension ref="A1:T52"/>
  <sheetViews>
    <sheetView topLeftCell="A3" zoomScale="94" zoomScaleNormal="70" workbookViewId="0"/>
  </sheetViews>
  <sheetFormatPr baseColWidth="10" defaultColWidth="8.83203125" defaultRowHeight="15" x14ac:dyDescent="0.2"/>
  <cols>
    <col min="1" max="1" width="16" customWidth="1"/>
    <col min="2" max="3" width="9.1640625" style="1"/>
    <col min="4" max="4" width="14" customWidth="1"/>
  </cols>
  <sheetData>
    <row r="1" spans="1:20" x14ac:dyDescent="0.2">
      <c r="A1" s="8" t="s">
        <v>57</v>
      </c>
      <c r="B1" s="8" t="s">
        <v>56</v>
      </c>
      <c r="C1" s="8" t="s">
        <v>55</v>
      </c>
      <c r="D1" s="8" t="s">
        <v>54</v>
      </c>
      <c r="E1" s="14" t="s">
        <v>105</v>
      </c>
      <c r="F1" s="14" t="s">
        <v>106</v>
      </c>
      <c r="G1" s="14" t="s">
        <v>107</v>
      </c>
      <c r="H1" s="14" t="s">
        <v>108</v>
      </c>
      <c r="I1" s="14" t="s">
        <v>109</v>
      </c>
      <c r="J1" s="14" t="s">
        <v>110</v>
      </c>
      <c r="K1" s="14" t="s">
        <v>111</v>
      </c>
      <c r="L1" s="14" t="s">
        <v>112</v>
      </c>
      <c r="M1" s="14" t="s">
        <v>113</v>
      </c>
      <c r="N1" s="14" t="s">
        <v>114</v>
      </c>
      <c r="O1" s="14" t="s">
        <v>115</v>
      </c>
      <c r="P1" s="14" t="s">
        <v>116</v>
      </c>
      <c r="Q1" s="14" t="s">
        <v>117</v>
      </c>
      <c r="R1" s="14" t="s">
        <v>118</v>
      </c>
      <c r="S1" s="14" t="s">
        <v>119</v>
      </c>
      <c r="T1" s="14" t="s">
        <v>120</v>
      </c>
    </row>
    <row r="2" spans="1:20" x14ac:dyDescent="0.2">
      <c r="A2" s="2" t="s">
        <v>53</v>
      </c>
      <c r="B2" s="3">
        <v>23</v>
      </c>
      <c r="C2" s="3" t="s">
        <v>4</v>
      </c>
      <c r="D2" s="2" t="s">
        <v>52</v>
      </c>
      <c r="E2" s="15">
        <v>145</v>
      </c>
      <c r="F2" s="15">
        <v>52</v>
      </c>
      <c r="G2" s="15">
        <v>29</v>
      </c>
      <c r="H2" s="15">
        <v>74</v>
      </c>
      <c r="I2" s="15">
        <v>95</v>
      </c>
      <c r="J2" s="15">
        <v>24</v>
      </c>
      <c r="K2" s="15">
        <v>24</v>
      </c>
      <c r="L2" s="15">
        <v>19</v>
      </c>
      <c r="M2" s="15">
        <v>19</v>
      </c>
      <c r="N2" s="15">
        <v>26</v>
      </c>
      <c r="O2" s="15">
        <v>72</v>
      </c>
      <c r="P2" s="15">
        <v>74</v>
      </c>
      <c r="Q2" s="15">
        <v>40</v>
      </c>
      <c r="R2" s="15">
        <v>39</v>
      </c>
      <c r="S2" s="15">
        <v>32.4</v>
      </c>
      <c r="T2" s="15">
        <v>32</v>
      </c>
    </row>
    <row r="3" spans="1:20" x14ac:dyDescent="0.2">
      <c r="A3" s="2" t="s">
        <v>51</v>
      </c>
      <c r="B3" s="3">
        <v>50</v>
      </c>
      <c r="C3" s="3" t="s">
        <v>4</v>
      </c>
      <c r="D3" s="2" t="s">
        <v>50</v>
      </c>
      <c r="E3" s="15">
        <v>157</v>
      </c>
      <c r="F3" s="15">
        <v>58</v>
      </c>
      <c r="G3" s="15">
        <v>15</v>
      </c>
      <c r="H3" s="15">
        <v>79</v>
      </c>
      <c r="I3" s="15">
        <v>104</v>
      </c>
      <c r="J3" s="15">
        <v>28</v>
      </c>
      <c r="K3" s="15">
        <v>28</v>
      </c>
      <c r="L3" s="15">
        <v>22</v>
      </c>
      <c r="M3" s="15">
        <v>21</v>
      </c>
      <c r="N3" s="15">
        <v>32</v>
      </c>
      <c r="O3" s="15">
        <v>82</v>
      </c>
      <c r="P3" s="15">
        <v>81</v>
      </c>
      <c r="Q3" s="15">
        <v>43</v>
      </c>
      <c r="R3" s="15">
        <v>43</v>
      </c>
      <c r="S3" s="15">
        <v>37</v>
      </c>
      <c r="T3" s="15">
        <v>36.5</v>
      </c>
    </row>
    <row r="4" spans="1:20" x14ac:dyDescent="0.2">
      <c r="A4" s="2" t="s">
        <v>49</v>
      </c>
      <c r="B4" s="3">
        <v>53</v>
      </c>
      <c r="C4" s="3" t="s">
        <v>1</v>
      </c>
      <c r="D4" s="2" t="s">
        <v>48</v>
      </c>
      <c r="E4" s="15">
        <v>162</v>
      </c>
      <c r="F4" s="15">
        <v>56</v>
      </c>
      <c r="G4" s="15">
        <v>33</v>
      </c>
      <c r="H4" s="15">
        <v>79</v>
      </c>
      <c r="I4" s="15">
        <v>101</v>
      </c>
      <c r="J4" s="15">
        <v>30</v>
      </c>
      <c r="K4" s="15">
        <v>30</v>
      </c>
      <c r="L4" s="15">
        <v>25</v>
      </c>
      <c r="M4" s="15">
        <v>25</v>
      </c>
      <c r="N4" s="15">
        <v>29</v>
      </c>
      <c r="O4" s="15">
        <v>85</v>
      </c>
      <c r="P4" s="15">
        <v>85.5</v>
      </c>
      <c r="Q4" s="15">
        <v>41.5</v>
      </c>
      <c r="R4" s="15">
        <v>41.5</v>
      </c>
      <c r="S4" s="15">
        <v>41</v>
      </c>
      <c r="T4" s="15">
        <v>40</v>
      </c>
    </row>
    <row r="5" spans="1:20" x14ac:dyDescent="0.2">
      <c r="A5" s="2" t="s">
        <v>47</v>
      </c>
      <c r="B5" s="3">
        <v>43</v>
      </c>
      <c r="C5" s="3" t="s">
        <v>4</v>
      </c>
      <c r="D5" s="2" t="s">
        <v>46</v>
      </c>
      <c r="E5" s="15">
        <v>148</v>
      </c>
      <c r="F5" s="15">
        <v>55</v>
      </c>
      <c r="G5" s="15">
        <v>43</v>
      </c>
      <c r="H5" s="15">
        <v>122.5</v>
      </c>
      <c r="I5" s="15">
        <v>126</v>
      </c>
      <c r="J5" s="15">
        <v>29</v>
      </c>
      <c r="K5" s="15">
        <v>28</v>
      </c>
      <c r="L5" s="15">
        <v>23</v>
      </c>
      <c r="M5" s="15">
        <v>23</v>
      </c>
      <c r="N5" s="15">
        <v>48</v>
      </c>
      <c r="O5" s="15">
        <v>73</v>
      </c>
      <c r="P5" s="15">
        <v>72</v>
      </c>
      <c r="Q5" s="15">
        <v>30</v>
      </c>
      <c r="R5" s="15">
        <v>32</v>
      </c>
      <c r="S5" s="15">
        <v>35</v>
      </c>
      <c r="T5" s="15">
        <v>36</v>
      </c>
    </row>
    <row r="6" spans="1:20" x14ac:dyDescent="0.2">
      <c r="A6" s="2" t="s">
        <v>45</v>
      </c>
      <c r="B6" s="3">
        <v>57</v>
      </c>
      <c r="C6" s="3" t="s">
        <v>1</v>
      </c>
      <c r="D6" s="2" t="s">
        <v>44</v>
      </c>
      <c r="E6" s="15">
        <v>163</v>
      </c>
      <c r="F6" s="15">
        <v>56</v>
      </c>
      <c r="G6" s="15">
        <v>33</v>
      </c>
      <c r="H6" s="15">
        <v>92.5</v>
      </c>
      <c r="I6" s="15">
        <v>109.5</v>
      </c>
      <c r="J6" s="15">
        <v>29</v>
      </c>
      <c r="K6" s="15">
        <v>29</v>
      </c>
      <c r="L6" s="15">
        <v>23</v>
      </c>
      <c r="M6" s="15">
        <v>23</v>
      </c>
      <c r="N6" s="15">
        <v>34</v>
      </c>
      <c r="O6" s="15">
        <v>81</v>
      </c>
      <c r="P6" s="15">
        <v>82</v>
      </c>
      <c r="Q6" s="15">
        <v>41</v>
      </c>
      <c r="R6" s="15">
        <v>41</v>
      </c>
      <c r="S6" s="15">
        <v>39</v>
      </c>
      <c r="T6" s="15">
        <v>39</v>
      </c>
    </row>
    <row r="7" spans="1:20" x14ac:dyDescent="0.2">
      <c r="A7" s="2" t="s">
        <v>43</v>
      </c>
      <c r="B7" s="3">
        <v>42</v>
      </c>
      <c r="C7" s="3" t="s">
        <v>4</v>
      </c>
      <c r="D7" s="2" t="s">
        <v>42</v>
      </c>
      <c r="E7" s="15">
        <v>143</v>
      </c>
      <c r="F7" s="15">
        <v>54</v>
      </c>
      <c r="G7" s="15">
        <v>32</v>
      </c>
      <c r="H7" s="15">
        <v>83</v>
      </c>
      <c r="I7" s="15">
        <v>102</v>
      </c>
      <c r="J7" s="15">
        <v>22</v>
      </c>
      <c r="K7" s="15">
        <v>23</v>
      </c>
      <c r="L7" s="15">
        <v>16</v>
      </c>
      <c r="M7" s="15">
        <v>16</v>
      </c>
      <c r="N7" s="15">
        <v>32</v>
      </c>
      <c r="O7" s="15">
        <v>72</v>
      </c>
      <c r="P7" s="15">
        <v>73</v>
      </c>
      <c r="Q7" s="15">
        <v>33</v>
      </c>
      <c r="R7" s="15">
        <v>34</v>
      </c>
      <c r="S7" s="15">
        <v>40</v>
      </c>
      <c r="T7" s="15">
        <v>38</v>
      </c>
    </row>
    <row r="8" spans="1:20" x14ac:dyDescent="0.2">
      <c r="A8" s="2" t="s">
        <v>41</v>
      </c>
      <c r="B8" s="3">
        <v>33</v>
      </c>
      <c r="C8" s="3" t="s">
        <v>4</v>
      </c>
      <c r="D8" s="2" t="s">
        <v>40</v>
      </c>
      <c r="E8" s="15">
        <v>145</v>
      </c>
      <c r="F8" s="15">
        <v>57.5</v>
      </c>
      <c r="G8" s="15">
        <v>34.5</v>
      </c>
      <c r="H8" s="15">
        <v>64</v>
      </c>
      <c r="I8" s="15">
        <v>83</v>
      </c>
      <c r="J8" s="15">
        <v>23.5</v>
      </c>
      <c r="K8" s="15">
        <v>23.5</v>
      </c>
      <c r="L8" s="15">
        <v>19</v>
      </c>
      <c r="M8" s="15">
        <v>19</v>
      </c>
      <c r="N8" s="15">
        <v>25</v>
      </c>
      <c r="O8" s="15">
        <v>75.5</v>
      </c>
      <c r="P8" s="15">
        <v>74.5</v>
      </c>
      <c r="Q8" s="15">
        <v>37</v>
      </c>
      <c r="R8" s="15">
        <v>36.5</v>
      </c>
      <c r="S8" s="15">
        <v>34.5</v>
      </c>
      <c r="T8" s="15">
        <v>35</v>
      </c>
    </row>
    <row r="9" spans="1:20" x14ac:dyDescent="0.2">
      <c r="A9" s="2" t="s">
        <v>39</v>
      </c>
      <c r="B9" s="3">
        <v>53</v>
      </c>
      <c r="C9" s="3" t="s">
        <v>1</v>
      </c>
      <c r="D9" s="2" t="s">
        <v>38</v>
      </c>
      <c r="E9" s="15">
        <v>168</v>
      </c>
      <c r="F9" s="15">
        <v>58.5</v>
      </c>
      <c r="G9" s="15">
        <v>33</v>
      </c>
      <c r="H9" s="15">
        <v>78</v>
      </c>
      <c r="I9" s="15">
        <v>102.5</v>
      </c>
      <c r="J9" s="15">
        <v>29</v>
      </c>
      <c r="K9" s="15">
        <v>28</v>
      </c>
      <c r="L9" s="15">
        <v>23.5</v>
      </c>
      <c r="M9" s="15">
        <v>23</v>
      </c>
      <c r="N9" s="15">
        <v>30</v>
      </c>
      <c r="O9" s="15">
        <v>85.5</v>
      </c>
      <c r="P9" s="15">
        <v>84</v>
      </c>
      <c r="Q9" s="15">
        <v>42</v>
      </c>
      <c r="R9" s="15">
        <v>41</v>
      </c>
      <c r="S9" s="15">
        <v>42</v>
      </c>
      <c r="T9" s="15">
        <v>41</v>
      </c>
    </row>
    <row r="10" spans="1:20" x14ac:dyDescent="0.2">
      <c r="A10" s="2" t="s">
        <v>37</v>
      </c>
      <c r="B10" s="3">
        <v>52</v>
      </c>
      <c r="C10" s="3" t="s">
        <v>4</v>
      </c>
      <c r="D10" s="2" t="s">
        <v>36</v>
      </c>
      <c r="E10" s="15">
        <v>138</v>
      </c>
      <c r="F10" s="15">
        <v>58.5</v>
      </c>
      <c r="G10" s="15">
        <v>37</v>
      </c>
      <c r="H10" s="15">
        <v>106</v>
      </c>
      <c r="I10" s="15">
        <v>123</v>
      </c>
      <c r="J10" s="15">
        <v>20.5</v>
      </c>
      <c r="K10" s="15">
        <v>20.5</v>
      </c>
      <c r="L10" s="15">
        <v>18.5</v>
      </c>
      <c r="M10" s="15">
        <v>19</v>
      </c>
      <c r="N10" s="15">
        <v>39.5</v>
      </c>
      <c r="O10" s="15">
        <v>64</v>
      </c>
      <c r="P10" s="15">
        <v>63</v>
      </c>
      <c r="Q10" s="15">
        <v>35.5</v>
      </c>
      <c r="R10" s="15">
        <v>36</v>
      </c>
      <c r="S10" s="15">
        <v>30</v>
      </c>
      <c r="T10" s="15">
        <v>30.5</v>
      </c>
    </row>
    <row r="11" spans="1:20" x14ac:dyDescent="0.2">
      <c r="A11" s="2" t="s">
        <v>35</v>
      </c>
      <c r="B11" s="3">
        <v>12</v>
      </c>
      <c r="C11" s="3" t="s">
        <v>1</v>
      </c>
      <c r="D11" s="2" t="s">
        <v>34</v>
      </c>
      <c r="E11" s="15">
        <v>163</v>
      </c>
      <c r="F11" s="15">
        <v>55</v>
      </c>
      <c r="G11" s="15">
        <v>31</v>
      </c>
      <c r="H11" s="15">
        <v>65.5</v>
      </c>
      <c r="I11" s="15">
        <v>92</v>
      </c>
      <c r="J11" s="15">
        <v>26</v>
      </c>
      <c r="K11" s="15">
        <v>27</v>
      </c>
      <c r="L11" s="15">
        <v>24</v>
      </c>
      <c r="M11" s="15">
        <v>24.5</v>
      </c>
      <c r="N11" s="15">
        <v>20.5</v>
      </c>
      <c r="O11" s="15">
        <v>81.5</v>
      </c>
      <c r="P11" s="15">
        <v>81.5</v>
      </c>
      <c r="Q11" s="15">
        <v>40</v>
      </c>
      <c r="R11" s="15">
        <v>39</v>
      </c>
      <c r="S11" s="15">
        <v>43</v>
      </c>
      <c r="T11" s="15">
        <v>40</v>
      </c>
    </row>
    <row r="12" spans="1:20" x14ac:dyDescent="0.2">
      <c r="A12" s="2" t="s">
        <v>33</v>
      </c>
      <c r="B12" s="3">
        <v>24</v>
      </c>
      <c r="C12" s="3" t="s">
        <v>4</v>
      </c>
      <c r="D12" s="2" t="s">
        <v>32</v>
      </c>
      <c r="E12" s="15">
        <v>149</v>
      </c>
      <c r="F12" s="15">
        <v>54</v>
      </c>
      <c r="G12" s="15">
        <v>34</v>
      </c>
      <c r="H12" s="15">
        <v>78</v>
      </c>
      <c r="I12" s="15">
        <v>92</v>
      </c>
      <c r="J12" s="15">
        <v>24.5</v>
      </c>
      <c r="K12" s="15">
        <v>24.5</v>
      </c>
      <c r="L12" s="15">
        <v>21</v>
      </c>
      <c r="M12" s="15">
        <v>21</v>
      </c>
      <c r="N12" s="15">
        <v>29</v>
      </c>
      <c r="O12" s="15">
        <v>77.5</v>
      </c>
      <c r="P12" s="15">
        <v>77</v>
      </c>
      <c r="Q12" s="15">
        <v>39</v>
      </c>
      <c r="R12" s="15">
        <v>39</v>
      </c>
      <c r="S12" s="15">
        <v>41</v>
      </c>
      <c r="T12" s="15">
        <v>35</v>
      </c>
    </row>
    <row r="13" spans="1:20" x14ac:dyDescent="0.2">
      <c r="A13" s="2" t="s">
        <v>31</v>
      </c>
      <c r="B13" s="3">
        <v>21</v>
      </c>
      <c r="C13" s="3" t="s">
        <v>4</v>
      </c>
      <c r="D13" s="2" t="s">
        <v>30</v>
      </c>
      <c r="E13" s="15">
        <v>152</v>
      </c>
      <c r="F13" s="15">
        <v>59</v>
      </c>
      <c r="G13" s="15">
        <v>34</v>
      </c>
      <c r="H13" s="15">
        <v>77</v>
      </c>
      <c r="I13" s="15">
        <v>99</v>
      </c>
      <c r="J13" s="15">
        <v>27</v>
      </c>
      <c r="K13" s="15">
        <v>26</v>
      </c>
      <c r="L13" s="15">
        <v>21.5</v>
      </c>
      <c r="M13" s="15">
        <v>21</v>
      </c>
      <c r="N13" s="15">
        <v>26.5</v>
      </c>
      <c r="O13" s="15">
        <v>76</v>
      </c>
      <c r="P13" s="15">
        <v>76</v>
      </c>
      <c r="Q13" s="15">
        <v>36.5</v>
      </c>
      <c r="R13" s="15">
        <v>36</v>
      </c>
      <c r="S13" s="15">
        <v>38</v>
      </c>
      <c r="T13" s="15">
        <v>35</v>
      </c>
    </row>
    <row r="14" spans="1:20" x14ac:dyDescent="0.2">
      <c r="A14" s="2" t="s">
        <v>29</v>
      </c>
      <c r="B14" s="3">
        <v>49</v>
      </c>
      <c r="C14" s="3" t="s">
        <v>4</v>
      </c>
      <c r="D14" s="2" t="s">
        <v>28</v>
      </c>
      <c r="E14" s="15">
        <v>161</v>
      </c>
      <c r="F14" s="15">
        <v>58</v>
      </c>
      <c r="G14" s="15">
        <v>34.5</v>
      </c>
      <c r="H14" s="15">
        <v>93</v>
      </c>
      <c r="I14" s="15">
        <v>115</v>
      </c>
      <c r="J14" s="15">
        <v>25.5</v>
      </c>
      <c r="K14" s="15">
        <v>26</v>
      </c>
      <c r="L14" s="15">
        <v>22.5</v>
      </c>
      <c r="M14" s="15">
        <v>23.5</v>
      </c>
      <c r="N14" s="15">
        <v>50</v>
      </c>
      <c r="O14" s="15">
        <v>86.5</v>
      </c>
      <c r="P14" s="15">
        <v>85</v>
      </c>
      <c r="Q14" s="15">
        <v>37</v>
      </c>
      <c r="R14" s="15">
        <v>37</v>
      </c>
      <c r="S14" s="15">
        <v>44</v>
      </c>
      <c r="T14" s="15">
        <v>39</v>
      </c>
    </row>
    <row r="15" spans="1:20" x14ac:dyDescent="0.2">
      <c r="A15" s="2" t="s">
        <v>27</v>
      </c>
      <c r="B15" s="3">
        <v>40</v>
      </c>
      <c r="C15" s="3" t="s">
        <v>4</v>
      </c>
      <c r="D15" s="2" t="s">
        <v>26</v>
      </c>
      <c r="E15" s="15">
        <v>152</v>
      </c>
      <c r="F15" s="15">
        <v>56</v>
      </c>
      <c r="G15" s="15">
        <v>29</v>
      </c>
      <c r="H15" s="15">
        <v>61.5</v>
      </c>
      <c r="I15" s="15">
        <v>84.5</v>
      </c>
      <c r="J15" s="15">
        <v>24.5</v>
      </c>
      <c r="K15" s="15">
        <v>25</v>
      </c>
      <c r="L15" s="15">
        <v>23.5</v>
      </c>
      <c r="M15" s="15">
        <v>22</v>
      </c>
      <c r="N15" s="15">
        <v>28</v>
      </c>
      <c r="O15" s="15">
        <v>78</v>
      </c>
      <c r="P15" s="15">
        <v>77</v>
      </c>
      <c r="Q15" s="15">
        <v>37</v>
      </c>
      <c r="R15" s="15">
        <v>33</v>
      </c>
      <c r="S15" s="15">
        <v>38</v>
      </c>
      <c r="T15" s="15">
        <v>40</v>
      </c>
    </row>
    <row r="16" spans="1:20" x14ac:dyDescent="0.2">
      <c r="A16" s="2" t="s">
        <v>25</v>
      </c>
      <c r="B16" s="3">
        <v>24</v>
      </c>
      <c r="C16" s="3" t="s">
        <v>1</v>
      </c>
      <c r="D16" s="2" t="s">
        <v>24</v>
      </c>
      <c r="E16" s="15">
        <v>163</v>
      </c>
      <c r="F16" s="15">
        <v>52</v>
      </c>
      <c r="G16" s="15">
        <v>28</v>
      </c>
      <c r="H16" s="15">
        <v>66</v>
      </c>
      <c r="I16" s="15">
        <v>88</v>
      </c>
      <c r="J16" s="15">
        <v>28.5</v>
      </c>
      <c r="K16" s="15">
        <v>28.5</v>
      </c>
      <c r="L16" s="15">
        <v>24</v>
      </c>
      <c r="M16" s="15">
        <v>24</v>
      </c>
      <c r="N16" s="15">
        <v>23</v>
      </c>
      <c r="O16" s="15">
        <v>84</v>
      </c>
      <c r="P16" s="15">
        <v>85</v>
      </c>
      <c r="Q16" s="15">
        <v>43.5</v>
      </c>
      <c r="R16" s="15">
        <v>43.5</v>
      </c>
      <c r="S16" s="15">
        <v>40</v>
      </c>
      <c r="T16" s="15">
        <v>34</v>
      </c>
    </row>
    <row r="17" spans="1:20" x14ac:dyDescent="0.2">
      <c r="A17" s="4" t="s">
        <v>23</v>
      </c>
      <c r="B17" s="3">
        <v>30</v>
      </c>
      <c r="C17" s="3" t="s">
        <v>1</v>
      </c>
      <c r="D17" s="2" t="s">
        <v>22</v>
      </c>
      <c r="E17" s="15">
        <v>159</v>
      </c>
      <c r="F17" s="15">
        <v>55.5</v>
      </c>
      <c r="G17" s="15">
        <v>31.5</v>
      </c>
      <c r="H17" s="15">
        <v>76.5</v>
      </c>
      <c r="I17" s="15">
        <v>105</v>
      </c>
      <c r="J17" s="15">
        <v>27</v>
      </c>
      <c r="K17" s="15">
        <v>26.5</v>
      </c>
      <c r="L17" s="15">
        <v>22</v>
      </c>
      <c r="M17" s="15">
        <v>22.5</v>
      </c>
      <c r="N17" s="15">
        <v>26.5</v>
      </c>
      <c r="O17" s="15">
        <v>84</v>
      </c>
      <c r="P17" s="15">
        <v>82</v>
      </c>
      <c r="Q17" s="15">
        <v>39</v>
      </c>
      <c r="R17" s="15">
        <v>41</v>
      </c>
      <c r="S17" s="15">
        <v>41</v>
      </c>
      <c r="T17" s="15">
        <v>38</v>
      </c>
    </row>
    <row r="18" spans="1:20" x14ac:dyDescent="0.2">
      <c r="A18" s="2" t="s">
        <v>21</v>
      </c>
      <c r="B18" s="3">
        <v>47</v>
      </c>
      <c r="C18" s="3" t="s">
        <v>1</v>
      </c>
      <c r="D18" s="2" t="s">
        <v>20</v>
      </c>
      <c r="E18" s="15">
        <v>160</v>
      </c>
      <c r="F18" s="15">
        <v>54</v>
      </c>
      <c r="G18" s="15">
        <v>30.5</v>
      </c>
      <c r="H18" s="15">
        <v>73</v>
      </c>
      <c r="I18" s="15">
        <v>96</v>
      </c>
      <c r="J18" s="15">
        <v>26</v>
      </c>
      <c r="K18" s="15">
        <v>28</v>
      </c>
      <c r="L18" s="15">
        <v>24</v>
      </c>
      <c r="M18" s="15">
        <v>24</v>
      </c>
      <c r="N18" s="15">
        <v>25.5</v>
      </c>
      <c r="O18" s="15">
        <v>85.5</v>
      </c>
      <c r="P18" s="15">
        <v>84.5</v>
      </c>
      <c r="Q18" s="15">
        <v>44.5</v>
      </c>
      <c r="R18" s="15">
        <v>44</v>
      </c>
      <c r="S18" s="15">
        <v>39.5</v>
      </c>
      <c r="T18" s="15">
        <v>39.5</v>
      </c>
    </row>
    <row r="19" spans="1:20" x14ac:dyDescent="0.2">
      <c r="A19" s="2" t="s">
        <v>19</v>
      </c>
      <c r="B19" s="3">
        <v>34</v>
      </c>
      <c r="C19" s="3" t="s">
        <v>4</v>
      </c>
      <c r="D19" s="2" t="s">
        <v>18</v>
      </c>
      <c r="E19" s="15">
        <v>164</v>
      </c>
      <c r="F19" s="15">
        <v>58.5</v>
      </c>
      <c r="G19" s="15">
        <v>37</v>
      </c>
      <c r="H19" s="15">
        <v>91</v>
      </c>
      <c r="I19" s="15">
        <v>115</v>
      </c>
      <c r="J19" s="15">
        <v>26</v>
      </c>
      <c r="K19" s="15">
        <v>26.5</v>
      </c>
      <c r="L19" s="15">
        <v>23</v>
      </c>
      <c r="M19" s="15">
        <v>22.5</v>
      </c>
      <c r="N19" s="15">
        <v>31</v>
      </c>
      <c r="O19" s="15">
        <v>83</v>
      </c>
      <c r="P19" s="15">
        <v>82</v>
      </c>
      <c r="Q19" s="15">
        <v>36.5</v>
      </c>
      <c r="R19" s="15">
        <v>36</v>
      </c>
      <c r="S19" s="15">
        <v>39.5</v>
      </c>
      <c r="T19" s="15">
        <v>42</v>
      </c>
    </row>
    <row r="20" spans="1:20" x14ac:dyDescent="0.2">
      <c r="A20" s="2" t="s">
        <v>17</v>
      </c>
      <c r="B20" s="3">
        <v>52</v>
      </c>
      <c r="C20" s="3" t="s">
        <v>4</v>
      </c>
      <c r="D20" s="2" t="s">
        <v>16</v>
      </c>
      <c r="E20" s="15">
        <v>144</v>
      </c>
      <c r="F20" s="15">
        <v>57</v>
      </c>
      <c r="G20" s="15">
        <v>41</v>
      </c>
      <c r="H20" s="15">
        <v>84</v>
      </c>
      <c r="I20" s="15">
        <v>99</v>
      </c>
      <c r="J20" s="15">
        <v>22</v>
      </c>
      <c r="K20" s="15">
        <v>22</v>
      </c>
      <c r="L20" s="15">
        <v>21</v>
      </c>
      <c r="M20" s="15">
        <v>21</v>
      </c>
      <c r="N20" s="15">
        <v>30</v>
      </c>
      <c r="O20" s="15">
        <v>76</v>
      </c>
      <c r="P20" s="15">
        <v>75.5</v>
      </c>
      <c r="Q20" s="15">
        <v>37</v>
      </c>
      <c r="R20" s="15">
        <v>37</v>
      </c>
      <c r="S20" s="15">
        <v>38</v>
      </c>
      <c r="T20" s="15">
        <v>35.5</v>
      </c>
    </row>
    <row r="21" spans="1:20" x14ac:dyDescent="0.2">
      <c r="A21" s="2" t="s">
        <v>15</v>
      </c>
      <c r="B21" s="3">
        <v>41</v>
      </c>
      <c r="C21" s="3" t="s">
        <v>4</v>
      </c>
      <c r="D21" s="2" t="s">
        <v>14</v>
      </c>
      <c r="E21" s="15">
        <v>150</v>
      </c>
      <c r="F21" s="15">
        <v>58</v>
      </c>
      <c r="G21" s="15">
        <v>31.5</v>
      </c>
      <c r="H21" s="15">
        <v>75</v>
      </c>
      <c r="I21" s="15">
        <v>93</v>
      </c>
      <c r="J21" s="15">
        <v>25</v>
      </c>
      <c r="K21" s="15">
        <v>25</v>
      </c>
      <c r="L21" s="15">
        <v>23.5</v>
      </c>
      <c r="M21" s="15">
        <v>23</v>
      </c>
      <c r="N21" s="15">
        <v>28</v>
      </c>
      <c r="O21" s="15">
        <v>77</v>
      </c>
      <c r="P21" s="15">
        <v>75.5</v>
      </c>
      <c r="Q21" s="15">
        <v>37</v>
      </c>
      <c r="R21" s="15">
        <v>37.5</v>
      </c>
      <c r="S21" s="15">
        <v>38</v>
      </c>
      <c r="T21" s="15">
        <v>37</v>
      </c>
    </row>
    <row r="22" spans="1:20" x14ac:dyDescent="0.2">
      <c r="A22" s="2" t="s">
        <v>13</v>
      </c>
      <c r="B22" s="3">
        <v>52</v>
      </c>
      <c r="C22" s="3" t="s">
        <v>4</v>
      </c>
      <c r="D22" s="2" t="s">
        <v>12</v>
      </c>
      <c r="E22" s="15">
        <v>152</v>
      </c>
      <c r="F22" s="15">
        <v>60</v>
      </c>
      <c r="G22" s="15">
        <v>36</v>
      </c>
      <c r="H22" s="15">
        <v>98.5</v>
      </c>
      <c r="I22" s="15">
        <v>112</v>
      </c>
      <c r="J22" s="15">
        <v>24</v>
      </c>
      <c r="K22" s="15">
        <v>24</v>
      </c>
      <c r="L22" s="15">
        <v>21</v>
      </c>
      <c r="M22" s="15">
        <v>22</v>
      </c>
      <c r="N22" s="15">
        <v>34</v>
      </c>
      <c r="O22" s="15">
        <v>75.5</v>
      </c>
      <c r="P22" s="15">
        <v>76</v>
      </c>
      <c r="Q22" s="15">
        <v>38</v>
      </c>
      <c r="R22" s="15">
        <v>38</v>
      </c>
      <c r="S22" s="15">
        <v>41</v>
      </c>
      <c r="T22" s="15">
        <v>39</v>
      </c>
    </row>
    <row r="23" spans="1:20" x14ac:dyDescent="0.2">
      <c r="A23" s="2" t="s">
        <v>11</v>
      </c>
      <c r="B23" s="3">
        <v>56</v>
      </c>
      <c r="C23" s="3" t="s">
        <v>4</v>
      </c>
      <c r="D23" s="2" t="s">
        <v>10</v>
      </c>
      <c r="E23" s="15">
        <v>148</v>
      </c>
      <c r="F23" s="15">
        <v>56</v>
      </c>
      <c r="G23" s="15">
        <v>34</v>
      </c>
      <c r="H23" s="15">
        <v>90</v>
      </c>
      <c r="I23" s="15">
        <v>87</v>
      </c>
      <c r="J23" s="15">
        <v>21.5</v>
      </c>
      <c r="K23" s="15">
        <v>22</v>
      </c>
      <c r="L23" s="15">
        <v>20</v>
      </c>
      <c r="M23" s="15">
        <v>20</v>
      </c>
      <c r="N23" s="15">
        <v>32</v>
      </c>
      <c r="O23" s="15">
        <v>77</v>
      </c>
      <c r="P23" s="15">
        <v>77</v>
      </c>
      <c r="Q23" s="15">
        <v>35</v>
      </c>
      <c r="R23" s="15">
        <v>36</v>
      </c>
      <c r="S23" s="15">
        <v>45</v>
      </c>
      <c r="T23" s="15">
        <v>41</v>
      </c>
    </row>
    <row r="24" spans="1:20" x14ac:dyDescent="0.2">
      <c r="A24" s="2" t="s">
        <v>9</v>
      </c>
      <c r="B24" s="3">
        <v>57</v>
      </c>
      <c r="C24" s="3" t="s">
        <v>1</v>
      </c>
      <c r="D24" s="2" t="s">
        <v>8</v>
      </c>
      <c r="E24" s="15">
        <v>172</v>
      </c>
      <c r="F24" s="15">
        <v>57</v>
      </c>
      <c r="G24" s="15">
        <v>35</v>
      </c>
      <c r="H24" s="15">
        <v>85</v>
      </c>
      <c r="I24" s="15">
        <v>111.5</v>
      </c>
      <c r="J24" s="15">
        <v>31</v>
      </c>
      <c r="K24" s="15">
        <v>31</v>
      </c>
      <c r="L24" s="15">
        <v>25.5</v>
      </c>
      <c r="M24" s="15">
        <v>26</v>
      </c>
      <c r="N24" s="15">
        <v>31</v>
      </c>
      <c r="O24" s="15">
        <v>88</v>
      </c>
      <c r="P24" s="15">
        <v>88</v>
      </c>
      <c r="Q24" s="15">
        <v>39.5</v>
      </c>
      <c r="R24" s="15">
        <v>39</v>
      </c>
      <c r="S24" s="15">
        <v>45.5</v>
      </c>
      <c r="T24" s="15">
        <v>42.5</v>
      </c>
    </row>
    <row r="25" spans="1:20" x14ac:dyDescent="0.2">
      <c r="A25" s="2" t="s">
        <v>7</v>
      </c>
      <c r="B25" s="3">
        <v>21</v>
      </c>
      <c r="C25" s="3" t="s">
        <v>4</v>
      </c>
      <c r="D25" s="2" t="s">
        <v>6</v>
      </c>
      <c r="E25" s="15">
        <v>149</v>
      </c>
      <c r="F25" s="15">
        <v>60</v>
      </c>
      <c r="G25" s="15">
        <v>33</v>
      </c>
      <c r="H25" s="15">
        <v>76.5</v>
      </c>
      <c r="I25" s="15">
        <v>100</v>
      </c>
      <c r="J25" s="15">
        <v>22</v>
      </c>
      <c r="K25" s="15">
        <v>22</v>
      </c>
      <c r="L25" s="15">
        <v>21</v>
      </c>
      <c r="M25" s="15">
        <v>21</v>
      </c>
      <c r="N25" s="15">
        <v>28</v>
      </c>
      <c r="O25" s="15">
        <v>74</v>
      </c>
      <c r="P25" s="15">
        <v>74</v>
      </c>
      <c r="Q25" s="15">
        <v>35.5</v>
      </c>
      <c r="R25" s="15">
        <v>36</v>
      </c>
      <c r="S25" s="15">
        <v>33</v>
      </c>
      <c r="T25" s="15">
        <v>34</v>
      </c>
    </row>
    <row r="26" spans="1:20" x14ac:dyDescent="0.2">
      <c r="A26" s="2" t="s">
        <v>5</v>
      </c>
      <c r="B26" s="3">
        <v>39</v>
      </c>
      <c r="C26" s="3" t="s">
        <v>4</v>
      </c>
      <c r="D26" s="2" t="s">
        <v>3</v>
      </c>
      <c r="E26" s="15">
        <v>142</v>
      </c>
      <c r="F26" s="15">
        <v>53</v>
      </c>
      <c r="G26" s="15">
        <v>31</v>
      </c>
      <c r="H26" s="15">
        <v>73</v>
      </c>
      <c r="I26" s="15">
        <v>88</v>
      </c>
      <c r="J26" s="15">
        <v>24</v>
      </c>
      <c r="K26" s="15">
        <v>24</v>
      </c>
      <c r="L26" s="15">
        <v>19</v>
      </c>
      <c r="M26" s="15">
        <v>19</v>
      </c>
      <c r="N26" s="15">
        <v>31</v>
      </c>
      <c r="O26" s="15">
        <v>68.5</v>
      </c>
      <c r="P26" s="15">
        <v>67</v>
      </c>
      <c r="Q26" s="15">
        <v>33</v>
      </c>
      <c r="R26" s="15">
        <v>34</v>
      </c>
      <c r="S26" s="15">
        <v>37</v>
      </c>
      <c r="T26" s="15">
        <v>33.5</v>
      </c>
    </row>
    <row r="27" spans="1:20" x14ac:dyDescent="0.2">
      <c r="A27" s="2" t="s">
        <v>2</v>
      </c>
      <c r="B27" s="3">
        <v>58</v>
      </c>
      <c r="C27" s="3" t="s">
        <v>1</v>
      </c>
      <c r="D27" s="2" t="s">
        <v>0</v>
      </c>
      <c r="E27" s="15">
        <v>159</v>
      </c>
      <c r="F27" s="15">
        <v>54.5</v>
      </c>
      <c r="G27" s="15">
        <v>31</v>
      </c>
      <c r="H27" s="15">
        <v>72.5</v>
      </c>
      <c r="I27" s="15">
        <v>96</v>
      </c>
      <c r="J27" s="15">
        <v>25.5</v>
      </c>
      <c r="K27" s="15">
        <v>25.5</v>
      </c>
      <c r="L27" s="15">
        <v>21</v>
      </c>
      <c r="M27" s="15">
        <v>22</v>
      </c>
      <c r="N27" s="15">
        <v>26.5</v>
      </c>
      <c r="O27" s="15">
        <v>81.5</v>
      </c>
      <c r="P27" s="15">
        <v>81.5</v>
      </c>
      <c r="Q27" s="15">
        <v>35</v>
      </c>
      <c r="R27" s="15">
        <v>35.5</v>
      </c>
      <c r="S27" s="15">
        <v>42</v>
      </c>
      <c r="T27" s="15">
        <v>39.5</v>
      </c>
    </row>
    <row r="28" spans="1:20" x14ac:dyDescent="0.2">
      <c r="A28" s="2"/>
      <c r="B28" s="3"/>
      <c r="C28" s="3"/>
      <c r="D28" s="2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</row>
    <row r="29" spans="1:20" x14ac:dyDescent="0.2">
      <c r="B29" s="3"/>
      <c r="C29" s="3"/>
      <c r="D29" s="2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</row>
    <row r="30" spans="1:20" x14ac:dyDescent="0.2">
      <c r="A30" s="2"/>
      <c r="B30" s="3"/>
      <c r="C30" s="3"/>
      <c r="D30" s="2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</row>
    <row r="31" spans="1:20" x14ac:dyDescent="0.2">
      <c r="A31" s="2"/>
      <c r="B31" s="3"/>
      <c r="C31" s="3"/>
      <c r="D31" s="2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</row>
    <row r="32" spans="1:20" x14ac:dyDescent="0.2">
      <c r="A32" s="2"/>
      <c r="B32" s="3"/>
      <c r="C32" s="3"/>
      <c r="D32" s="2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</row>
    <row r="33" spans="1:20" x14ac:dyDescent="0.2">
      <c r="A33" s="2"/>
      <c r="B33" s="3"/>
      <c r="C33" s="3"/>
      <c r="D33" s="2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</row>
    <row r="34" spans="1:20" x14ac:dyDescent="0.2">
      <c r="A34" s="2"/>
      <c r="B34" s="3"/>
      <c r="C34" s="3"/>
      <c r="D34" s="2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</row>
    <row r="35" spans="1:20" x14ac:dyDescent="0.2">
      <c r="A35" s="2"/>
      <c r="B35" s="3"/>
      <c r="C35" s="3"/>
      <c r="D35" s="2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  <row r="36" spans="1:20" x14ac:dyDescent="0.2">
      <c r="A36" s="2"/>
      <c r="B36" s="3"/>
      <c r="C36" s="3"/>
      <c r="D36" s="2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</row>
    <row r="37" spans="1:20" x14ac:dyDescent="0.2">
      <c r="A37" s="2"/>
      <c r="B37" s="3"/>
      <c r="C37" s="3"/>
      <c r="D37" s="2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</row>
    <row r="38" spans="1:20" x14ac:dyDescent="0.2">
      <c r="A38" s="2"/>
      <c r="B38" s="3"/>
      <c r="C38" s="3"/>
      <c r="D38" s="2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 spans="1:20" x14ac:dyDescent="0.2">
      <c r="A39" s="2"/>
      <c r="B39" s="3"/>
      <c r="C39" s="3"/>
      <c r="D39" s="2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  <row r="40" spans="1:20" x14ac:dyDescent="0.2">
      <c r="A40" s="2"/>
      <c r="B40" s="3"/>
      <c r="C40" s="3"/>
      <c r="D40" s="2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</row>
    <row r="41" spans="1:20" x14ac:dyDescent="0.2">
      <c r="A41" s="2"/>
      <c r="B41" s="3"/>
      <c r="C41" s="3"/>
      <c r="D41" s="2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</row>
    <row r="42" spans="1:20" x14ac:dyDescent="0.2">
      <c r="A42" s="2"/>
      <c r="B42" s="3"/>
      <c r="C42" s="3"/>
      <c r="D42" s="2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</row>
    <row r="43" spans="1:20" x14ac:dyDescent="0.2">
      <c r="A43" s="2"/>
      <c r="B43" s="3"/>
      <c r="C43" s="3"/>
      <c r="D43" s="2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</row>
    <row r="44" spans="1:20" x14ac:dyDescent="0.2">
      <c r="A44" s="2"/>
      <c r="B44" s="3"/>
      <c r="C44" s="3"/>
      <c r="D44" s="2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</row>
    <row r="45" spans="1:20" x14ac:dyDescent="0.2">
      <c r="A45" s="2"/>
      <c r="B45" s="3"/>
      <c r="C45" s="3"/>
      <c r="D45" s="2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</row>
    <row r="46" spans="1:20" x14ac:dyDescent="0.2">
      <c r="A46" s="2"/>
      <c r="B46" s="3"/>
      <c r="C46" s="3"/>
      <c r="D46" s="2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6"/>
      <c r="P46" s="15"/>
      <c r="Q46" s="15"/>
      <c r="R46" s="15"/>
      <c r="S46" s="15"/>
      <c r="T46" s="15"/>
    </row>
    <row r="47" spans="1:20" x14ac:dyDescent="0.2">
      <c r="A47" s="2"/>
      <c r="B47" s="3"/>
      <c r="C47" s="3"/>
      <c r="D47" s="2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</row>
    <row r="48" spans="1:20" x14ac:dyDescent="0.2">
      <c r="A48" s="2"/>
      <c r="B48" s="3"/>
      <c r="C48" s="3"/>
      <c r="D48" s="2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</row>
    <row r="49" spans="1:20" x14ac:dyDescent="0.2">
      <c r="A49" s="2"/>
      <c r="B49" s="3"/>
      <c r="C49" s="3"/>
      <c r="D49" s="2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</row>
    <row r="50" spans="1:20" x14ac:dyDescent="0.2">
      <c r="A50" s="2"/>
      <c r="B50" s="3"/>
      <c r="C50" s="3"/>
      <c r="D50" s="2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</row>
    <row r="51" spans="1:20" x14ac:dyDescent="0.2">
      <c r="A51" s="2"/>
      <c r="B51" s="3"/>
      <c r="C51" s="3"/>
      <c r="D51" s="2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</row>
    <row r="52" spans="1:20" x14ac:dyDescent="0.2">
      <c r="A52" s="2"/>
      <c r="B52" s="3"/>
      <c r="C52" s="3"/>
      <c r="D52" s="2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Raw_Match_Anon</vt:lpstr>
      <vt:lpstr>3D_Recon_Clean</vt:lpstr>
    </vt:vector>
  </TitlesOfParts>
  <Company>FUNITEC La Salle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del Mar Coch Alcina</dc:creator>
  <cp:lastModifiedBy>Carolina López Larraz</cp:lastModifiedBy>
  <dcterms:created xsi:type="dcterms:W3CDTF">2025-11-13T06:33:04Z</dcterms:created>
  <dcterms:modified xsi:type="dcterms:W3CDTF">2026-06-27T15:06:23Z</dcterms:modified>
</cp:coreProperties>
</file>